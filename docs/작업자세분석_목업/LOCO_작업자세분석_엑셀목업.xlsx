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650c898b4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2e5833a5ce1f41b0"/>
    <x:sheet xmlns:r="http://schemas.openxmlformats.org/officeDocument/2006/relationships" name="작업별 결과" sheetId="2" r:id="Rfbb1d71837254d05"/>
    <x:sheet xmlns:r="http://schemas.openxmlformats.org/officeDocument/2006/relationships" name="경고 기록" sheetId="3" r:id="R3c597b23a3c24d2a"/>
    <x:sheet xmlns:r="http://schemas.openxmlformats.org/officeDocument/2006/relationships" name="판정 초안" sheetId="4" r:id="R3015085e97ef42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"/>
    <x:numFmt numFmtId="202" formatCode="yyyy-mm-dd hh:mm"/>
    <x:numFmt numFmtId="203" formatCode="0.0"/>
    <x:numFmt numFmtId="204" formatCode="0.0%"/>
    <x:numFmt numFmtId="205" formatCode="yyyy-mm-dd"/>
  </x:numFmts>
  <x:fonts count="7">
    <x:font>
      <x:sz val="11"/>
      <x:name val="Carlito"/>
    </x:font>
    <x:font>
      <x:sz val="11"/>
      <x:color rgb="FF25364A"/>
      <x:name val="Malgun Gothic"/>
    </x:font>
    <x:font>
      <x:b/>
      <x:sz val="17"/>
      <x:color rgb="FF203047"/>
      <x:name val="Malgun Gothic"/>
    </x:font>
    <x:font>
      <x:sz val="10"/>
      <x:color rgb="FF64748B"/>
      <x:name val="Malgun Gothic"/>
    </x:font>
    <x:font>
      <x:b/>
      <x:sz val="11"/>
      <x:color rgb="FFFFFFFF"/>
      <x:name val="Malgun Gothic"/>
    </x:font>
    <x:font>
      <x:b/>
      <x:sz val="11"/>
      <x:color rgb="FF203047"/>
      <x:name val="Malgun Gothic"/>
    </x:font>
    <x:font>
      <x:b/>
      <x:sz val="14"/>
      <x:color rgb="FF356AC3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03047"/>
      </x:patternFill>
    </x:fill>
    <x:fill>
      <x:patternFill patternType="solid">
        <x:fgColor rgb="FFF4F7FB"/>
      </x:patternFill>
    </x:fill>
    <x:fill>
      <x:patternFill patternType="solid">
        <x:fgColor rgb="FFFFFFFF"/>
      </x:patternFill>
    </x:fill>
    <x:fill>
      <x:patternFill patternType="solid">
        <x:fgColor rgb="FFF1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ill>
        <x:patternFill patternType="solid">
          <x:bgColor rgb="FFFFF1CE"/>
        </x:patternFill>
      </x:fill>
    </x:dxf>
    <x:dxf>
      <x:font>
        <x:b/>
        <x:color rgb="FFA93232"/>
      </x:font>
      <x:fill>
        <x:patternFill patternType="solid">
          <x:bgColor rgb="FFFCE4E4"/>
        </x:patternFill>
      </x:fill>
    </x:dxf>
    <x:dxf>
      <x:fill>
        <x:patternFill patternType="solid">
          <x:bgColor rgb="FFFFF1CE"/>
        </x:patternFill>
      </x:fill>
    </x:dxf>
    <x:dxf>
      <x:font>
        <x:b/>
        <x:color rgb="FFA93232"/>
      </x:font>
      <x:fill>
        <x:patternFill patternType="solid">
          <x:bgColor rgb="FFFCE4E4"/>
        </x:patternFill>
      </x:fill>
    </x:dxf>
    <x:dxf>
      <x:font>
        <x:color rgb="FF806009"/>
      </x:font>
      <x:fill>
        <x:patternFill patternType="solid">
          <x:bgColor rgb="FFFFF1CE"/>
        </x:patternFill>
      </x:fill>
    </x:dxf>
    <x:dxf>
      <x:fill>
        <x:patternFill patternType="solid">
          <x:bgColor rgb="FFFFF1CE"/>
        </x:patternFill>
      </x:fill>
    </x:dxf>
    <x:dxf>
      <x:font>
        <x:b/>
        <x:color rgb="FFA93232"/>
      </x:font>
      <x:fill>
        <x:patternFill patternType="solid">
          <x:bgColor rgb="FFFCE4E4"/>
        </x:patternFill>
      </x:fill>
    </x:dxf>
    <x:dxf>
      <x:font>
        <x:color rgb="FF806009"/>
      </x:font>
      <x:fill>
        <x:patternFill patternType="solid">
          <x:bgColor rgb="FFFFF1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96e1585f441eb" /><Relationship Type="http://schemas.openxmlformats.org/officeDocument/2006/relationships/theme" Target="/xl/theme/theme1.xml" Id="R9ed2d96674e146e6" /><Relationship Type="http://schemas.openxmlformats.org/officeDocument/2006/relationships/sharedStrings" Target="/xl/sharedStrings.xml" Id="R58e500b2cd43425a" /><Relationship Type="http://schemas.openxmlformats.org/officeDocument/2006/relationships/worksheet" Target="/xl/worksheets/sheet1.xml" Id="R2e5833a5ce1f41b0" /><Relationship Type="http://schemas.openxmlformats.org/officeDocument/2006/relationships/worksheet" Target="/xl/worksheets/sheet2.xml" Id="Rfbb1d71837254d05" /><Relationship Type="http://schemas.openxmlformats.org/officeDocument/2006/relationships/worksheet" Target="/xl/worksheets/sheet3.xml" Id="R3c597b23a3c24d2a" /><Relationship Type="http://schemas.openxmlformats.org/officeDocument/2006/relationships/worksheet" Target="/xl/worksheets/sheet4.xml" Id="R3015085e97ef42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90cf5634141467f" /><Relationship Type="http://schemas.openxmlformats.org/officeDocument/2006/relationships/image" Target="/xl/media/image2.png" Id="R0628e601ff424609" /><Relationship Type="http://schemas.openxmlformats.org/officeDocument/2006/relationships/image" Target="/xl/media/image3.png" Id="R722545b9d2544391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26</xdr:row>
      <xdr:rowOff>0</xdr:rowOff>
    </xdr:from>
    <xdr:ext cx="3143250" cy="2381250"/>
    <xdr:pic>
      <xdr:nvPicPr>
        <xdr:cNvPr id="1" name="05db560a-3b11-4255-8a7f-e45fa4f324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0cf563414146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26</xdr:row>
      <xdr:rowOff>0</xdr:rowOff>
    </xdr:from>
    <xdr:ext cx="3143250" cy="2381250"/>
    <xdr:pic>
      <xdr:nvPicPr>
        <xdr:cNvPr id="2" name="ebe10cec-a52b-45ca-8ac1-7fd37cec40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28e601ff4246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26</xdr:row>
      <xdr:rowOff>0</xdr:rowOff>
    </xdr:from>
    <xdr:ext cx="3143250" cy="2381250"/>
    <xdr:pic>
      <xdr:nvPicPr>
        <xdr:cNvPr id="3" name="95ec3f4d-09e6-401c-a1eb-48c76874e2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2545b9d25443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6" name="SummaryTable" displayName="SummaryTable" ref="B12:J15" headerRowCount="1" totalsRowCount="0" totalsRowShown="0">
  <x:autoFilter ref="B12:J15"/>
  <x:tableColumns count="9">
    <x:tableColumn id="1" name="작업 ID"/>
    <x:tableColumn id="2" name="단위작업"/>
    <x:tableColumn id="3" name="REBA"/>
    <x:tableColumn id="4" name="위험도"/>
    <x:tableColumn id="5" name="판정 결과"/>
    <x:tableColumn id="6" name="미확정 호 수"/>
    <x:tableColumn id="7" name="사진(유효/전체)"/>
    <x:tableColumn id="8" name="작업 기간"/>
    <x:tableColumn id="9" name="다음 확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ResultTable" displayName="TaskResultTable" ref="B7:M10" headerRowCount="1" totalsRowCount="0" totalsRowShown="0">
  <x:autoFilter ref="B7:M10"/>
  <x:tableColumns count="12">
    <x:tableColumn id="1" name="작업 ID"/>
    <x:tableColumn id="2" name="단위작업"/>
    <x:tableColumn id="3" name="하루 작업시간(h)"/>
    <x:tableColumn id="4" name="REBA"/>
    <x:tableColumn id="5" name="위험도"/>
    <x:tableColumn id="6" name="REBA 상태"/>
    <x:tableColumn id="7" name="전체 사진"/>
    <x:tableColumn id="8" name="유효 사진"/>
    <x:tableColumn id="9" name="판별 불가 비율"/>
    <x:tableColumn id="10" name="대표 사진 ID"/>
    <x:tableColumn id="11" name="모델"/>
    <x:tableColumn id="12" name="작업 기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stureTable" displayName="PostureTable" ref="B14:K20" headerRowCount="1" totalsRowCount="0" totalsRowShown="0">
  <x:autoFilter ref="B14:K20"/>
  <x:tableColumns count="10">
    <x:tableColumn id="1" name="작업 ID"/>
    <x:tableColumn id="2" name="자세 항목"/>
    <x:tableColumn id="3" name="유효 사진 수"/>
    <x:tableColumn id="4" name="해당 사진 수"/>
    <x:tableColumn id="5" name="표본 비율"/>
    <x:tableColumn id="6" name="작업시간(h/일)"/>
    <x:tableColumn id="7" name="추정 노출(h/일)"/>
    <x:tableColumn id="8" name="자세 분류 기준"/>
    <x:tableColumn id="9" name="기준 출처"/>
    <x:tableColumn id="10" name="관찰 한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dyScoreTable" displayName="BodyScoreTable" ref="B40:I43" headerRowCount="1" totalsRowCount="0" totalsRowShown="0">
  <x:autoFilter ref="B40:I43"/>
  <x:tableColumns count="8">
    <x:tableColumn id="1" name="작업 ID"/>
    <x:tableColumn id="2" name="목 점수"/>
    <x:tableColumn id="3" name="몸통 점수"/>
    <x:tableColumn id="4" name="다리 점수"/>
    <x:tableColumn id="5" name="위팔 점수"/>
    <x:tableColumn id="6" name="아래팔 점수"/>
    <x:tableColumn id="7" name="손목 점수"/>
    <x:tableColumn id="8" name="REBA 최종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rningTable" displayName="WarningTable" ref="B7:L10" headerRowCount="1" totalsRowCount="0" totalsRowShown="0">
  <x:autoFilter ref="B7:L10"/>
  <x:tableColumns count="11">
    <x:tableColumn id="1" name="기록 ID"/>
    <x:tableColumn id="2" name="작업 ID"/>
    <x:tableColumn id="3" name="단위작업"/>
    <x:tableColumn id="4" name="호"/>
    <x:tableColumn id="5" name="상태"/>
    <x:tableColumn id="6" name="알림 내용"/>
    <x:tableColumn id="7" name="판정 근거"/>
    <x:tableColumn id="8" name="발생 시각"/>
    <x:tableColumn id="9" name="해제 시각"/>
    <x:tableColumn id="10" name="조사자 확인·조치"/>
    <x:tableColumn id="11" name="문장 출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" name="JudgmentTable" displayName="JudgmentTable" ref="B7:P40" headerRowCount="1" totalsRowCount="0" totalsRowShown="0">
  <x:autoFilter ref="B7:P40"/>
  <x:tableColumns count="15">
    <x:tableColumn id="1" name="작업 ID"/>
    <x:tableColumn id="2" name="단위작업"/>
    <x:tableColumn id="3" name="호"/>
    <x:tableColumn id="4" name="기준 이름"/>
    <x:tableColumn id="5" name="자동 결과"/>
    <x:tableColumn id="6" name="검토 상태"/>
    <x:tableColumn id="7" name="조사자 최종결과"/>
    <x:tableColumn id="8" name="판정 근거"/>
    <x:tableColumn id="9" name="관찰·입력 값"/>
    <x:tableColumn id="10" name="단위"/>
    <x:tableColumn id="11" name="비교 조건"/>
    <x:tableColumn id="12" name="법 기준 출처"/>
    <x:tableColumn id="13" name="확인 필요 사유"/>
    <x:tableColumn id="14" name="확정자"/>
    <x:tableColumn id="15" name="확정 시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86ca2ed1d743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77f2b99f4444bdd" /><Relationship Type="http://schemas.openxmlformats.org/officeDocument/2006/relationships/table" Target="/xl/tables/table2.xml" Id="Rfc20c0fbb5ad49c2" /><Relationship Type="http://schemas.openxmlformats.org/officeDocument/2006/relationships/table" Target="/xl/tables/table3.xml" Id="Rc6a8b48400b044d2" /><Relationship Type="http://schemas.openxmlformats.org/officeDocument/2006/relationships/table" Target="/xl/tables/table4.xml" Id="R97a47d97476c43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03c6e794caa840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c76460aef1524514" /></Relationships>
</file>

<file path=xl/worksheets/sheet1.xml><?xml version="1.0" encoding="utf-8"?>
<x:worksheet xmlns:x="http://schemas.openxmlformats.org/spreadsheetml/2006/main">
  <x:sheetPr>
    <x:tabColor rgb="FF203047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24" hidden="0" customWidth="1"/>
    <x:col min="4" max="4" width="14" hidden="0" customWidth="1"/>
    <x:col min="5" max="5" width="14" hidden="0" customWidth="1"/>
    <x:col min="6" max="6" width="19" hidden="0" customWidth="1"/>
    <x:col min="7" max="7" width="16" hidden="0" customWidth="1"/>
    <x:col min="8" max="8" width="18" hidden="0" customWidth="1"/>
    <x:col min="9" max="9" width="18" hidden="0" customWidth="1"/>
    <x:col min="10" max="10" width="3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2"/>
      <x:c r="B2" s="3" t="str">
        <x:v>LOCO 작업 자세 분석 보고서</x:v>
      </x:c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/>
      <x:c r="B3" s="4" t="str">
        <x:v>가상 데이터 목업 · 2026-10-14 · 실제 조사 결과 아님</x:v>
      </x:c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8" customHeight="1">
      <x:c r="A5" s="2"/>
      <x:c r="B5" s="26" t="str">
        <x:v>조사 개요</x:v>
      </x:c>
      <x:c r="C5" s="26"/>
      <x:c r="D5" s="26"/>
      <x:c r="E5" s="26"/>
      <x:c r="F5" s="26"/>
      <x:c r="G5" s="26"/>
      <x:c r="H5" s="26"/>
      <x:c r="I5" s="26"/>
      <x:c r="J5" s="26"/>
    </x:row>
    <x:row r="6" ht="25" customHeight="1">
      <x:c r="A6" s="2"/>
      <x:c r="B6" s="2" t="str">
        <x:v>조사 ID</x:v>
      </x:c>
      <x:c r="C6" s="2" t="str">
        <x:v>MOCK-20261014-01</x:v>
      </x:c>
      <x:c r="D6" s="2"/>
      <x:c r="E6" s="2"/>
      <x:c r="F6" s="2" t="str">
        <x:v>조사일</x:v>
      </x:c>
      <x:c r="G6" s="29" t="d">
        <x:v>2026-10-14T00:00:00.000Z</x:v>
      </x:c>
      <x:c r="H6" s="2"/>
      <x:c r="I6" s="2"/>
      <x:c r="J6" s="2"/>
    </x:row>
    <x:row r="7" ht="25" customHeight="1">
      <x:c r="A7" s="2"/>
      <x:c r="B7" s="2" t="str">
        <x:v>조사 구분</x:v>
      </x:c>
      <x:c r="C7" s="2" t="str">
        <x:v>정기 (가상 예시)</x:v>
      </x:c>
      <x:c r="D7" s="2"/>
      <x:c r="E7" s="2"/>
      <x:c r="F7" s="2" t="str">
        <x:v>조사자</x:v>
      </x:c>
      <x:c r="G7" s="2" t="str">
        <x:v>조사자 A</x:v>
      </x:c>
      <x:c r="H7" s="2"/>
      <x:c r="I7" s="2"/>
      <x:c r="J7" s="2"/>
    </x:row>
    <x:row r="8" ht="25" customHeight="1">
      <x:c r="A8" s="2"/>
      <x:c r="B8" s="2" t="str">
        <x:v>부서·공정</x:v>
      </x:c>
      <x:c r="C8" s="2" t="str">
        <x:v>생산부 · 포장공정</x:v>
      </x:c>
      <x:c r="D8" s="2"/>
      <x:c r="E8" s="2"/>
      <x:c r="F8" s="2" t="str">
        <x:v>참여자</x:v>
      </x:c>
      <x:c r="G8" s="2" t="str">
        <x:v>근로자 A</x:v>
      </x:c>
      <x:c r="H8" s="2"/>
      <x:c r="I8" s="2"/>
      <x:c r="J8" s="2"/>
    </x:row>
    <x:row r="9" ht="25" customHeight="1">
      <x:c r="A9" s="2"/>
      <x:c r="B9" s="2" t="str">
        <x:v>결과 상태</x:v>
      </x:c>
      <x:c r="C9" s="2" t="str">
        <x:v>작성 중</x:v>
      </x:c>
      <x:c r="D9" s="2"/>
      <x:c r="E9" s="2"/>
      <x:c r="F9" s="2" t="str">
        <x:v>분석 모델</x:v>
      </x:c>
      <x:c r="G9" s="2" t="str">
        <x:v>MoveNet Lightning</x:v>
      </x:c>
      <x:c r="H9" s="2"/>
      <x:c r="I9" s="2"/>
      <x:c r="J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8" customHeight="1">
      <x:c r="A11" s="2"/>
      <x:c r="B11" s="26" t="str">
        <x:v>작업별 결과와 남은 확인</x:v>
      </x:c>
      <x:c r="C11" s="26"/>
      <x:c r="D11" s="26"/>
      <x:c r="E11" s="26"/>
      <x:c r="F11" s="26"/>
      <x:c r="G11" s="26"/>
      <x:c r="H11" s="26"/>
      <x:c r="I11" s="26"/>
      <x:c r="J11" s="26"/>
    </x:row>
    <x:row r="12" ht="38" customHeight="1">
      <x:c r="A12" s="2"/>
      <x:c r="B12" s="8" t="str">
        <x:v>작업 ID</x:v>
      </x:c>
      <x:c r="C12" s="8" t="str">
        <x:v>단위작업</x:v>
      </x:c>
      <x:c r="D12" s="8" t="str">
        <x:v>REBA</x:v>
      </x:c>
      <x:c r="E12" s="8" t="str">
        <x:v>위험도</x:v>
      </x:c>
      <x:c r="F12" s="8" t="str">
        <x:v>판정 결과</x:v>
      </x:c>
      <x:c r="G12" s="8" t="str">
        <x:v>미확정 호 수</x:v>
      </x:c>
      <x:c r="H12" s="8" t="str">
        <x:v>사진(유효/전체)</x:v>
      </x:c>
      <x:c r="I12" s="8" t="str">
        <x:v>작업 기간</x:v>
      </x:c>
      <x:c r="J12" s="8" t="str">
        <x:v>다음 확인</x:v>
      </x:c>
    </x:row>
    <x:row r="13" ht="50" customHeight="1">
      <x:c r="A13" s="2"/>
      <x:c r="B13" s="9" t="str">
        <x:v>T01</x:v>
      </x:c>
      <x:c r="C13" s="9" t="str">
        <x:v>상자 들어 옮기기</x:v>
      </x:c>
      <x:c r="D13" s="9" t="n">
        <x:v>9</x:v>
      </x:c>
      <x:c r="E13" s="19" t="str">
        <x:v>높음</x:v>
      </x:c>
      <x:c r="F13" s="11" t="str">
        <x:v>4호 해당 확정</x:v>
      </x:c>
      <x:c r="G13" s="9" t="n">
        <x:f>COUNTIFS('판정 초안'!$B$8:$B$40,B13,'판정 초안'!$G$8:$G$40,"초안")</x:f>
        <x:v>10</x:v>
      </x:c>
      <x:c r="H13" s="19" t="str">
        <x:v>27/30</x:v>
      </x:c>
      <x:c r="I13" s="19" t="str">
        <x:v>상시</x:v>
      </x:c>
      <x:c r="J13" s="11" t="str">
        <x:v>9호 들기 위치와 1호 입력 확인</x:v>
      </x:c>
    </x:row>
    <x:row r="14" ht="50" customHeight="1">
      <x:c r="A14" s="2"/>
      <x:c r="B14" s="10" t="str">
        <x:v>T02</x:v>
      </x:c>
      <x:c r="C14" s="10" t="str">
        <x:v>선반 정리</x:v>
      </x:c>
      <x:c r="D14" s="10" t="n">
        <x:v>6</x:v>
      </x:c>
      <x:c r="E14" s="20" t="str">
        <x:v>보통</x:v>
      </x:c>
      <x:c r="F14" s="12" t="str">
        <x:v>3호 해당 확정</x:v>
      </x:c>
      <x:c r="G14" s="10" t="n">
        <x:f>COUNTIFS('판정 초안'!$B$8:$B$40,B14,'판정 초안'!$G$8:$G$40,"초안")</x:f>
        <x:v>0</x:v>
      </x:c>
      <x:c r="H14" s="20" t="str">
        <x:v>20/20</x:v>
      </x:c>
      <x:c r="I14" s="20" t="str">
        <x:v>상시</x:v>
      </x:c>
      <x:c r="J14" s="12" t="str">
        <x:v>현재 판정 11개 확인 완료</x:v>
      </x:c>
    </x:row>
    <x:row r="15" ht="50" customHeight="1">
      <x:c r="A15" s="2"/>
      <x:c r="B15" s="9" t="str">
        <x:v>T03</x:v>
      </x:c>
      <x:c r="C15" s="9" t="str">
        <x:v>수레 밀기</x:v>
      </x:c>
      <x:c r="D15" s="9" t="n">
        <x:v>5</x:v>
      </x:c>
      <x:c r="E15" s="19" t="str">
        <x:v>보통</x:v>
      </x:c>
      <x:c r="F15" s="11" t="str">
        <x:v>기간 구분에 따라 제외</x:v>
      </x:c>
      <x:c r="G15" s="9" t="n">
        <x:f>COUNTIFS('판정 초안'!$B$8:$B$40,B15,'판정 초안'!$G$8:$G$40,"초안")</x:f>
        <x:v>0</x:v>
      </x:c>
      <x:c r="H15" s="19" t="str">
        <x:v>9/10</x:v>
      </x:c>
      <x:c r="I15" s="19" t="str">
        <x:v>단기간</x:v>
      </x:c>
      <x:c r="J15" s="11" t="str">
        <x:v>자세 개선 참고자료로 사용</x:v>
      </x:c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5" customHeight="1">
      <x:c r="A17" s="2"/>
      <x:c r="B17" s="2" t="str">
        <x:v>미확정 판정</x:v>
      </x:c>
      <x:c r="C17" s="2"/>
      <x:c r="D17" s="30" t="n">
        <x:f>SUM(G13:G15)</x:f>
        <x:v>10</x:v>
      </x:c>
      <x:c r="E17" s="2"/>
      <x:c r="F17" s="2" t="str">
        <x:v>입력 필요</x:v>
      </x:c>
      <x:c r="G17" s="30" t="n">
        <x:f>COUNTIFS('판정 초안'!F8:F40,"입력 필요")</x:f>
        <x:v>1</x:v>
      </x:c>
      <x:c r="H17" s="2"/>
      <x:c r="I17" s="2"/>
      <x:c r="J17" s="2"/>
    </x:row>
    <x:row r="18" ht="25" customHeight="1">
      <x:c r="A18" s="2"/>
      <x:c r="B18" s="2" t="str">
        <x:v>사람 확인</x:v>
      </x:c>
      <x:c r="C18" s="2"/>
      <x:c r="D18" s="30" t="n">
        <x:f>COUNTIFS('판정 초안'!F8:F40,"사람 확인")</x:f>
        <x:v>1</x:v>
      </x:c>
      <x:c r="E18" s="2"/>
      <x:c r="F18" s="2"/>
      <x:c r="G18" s="2"/>
      <x:c r="H18" s="2"/>
      <x:c r="I18" s="2"/>
      <x:c r="J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8" customHeight="1">
      <x:c r="A20" s="2"/>
      <x:c r="B20" s="26" t="str">
        <x:v>읽는 방법</x:v>
      </x:c>
      <x:c r="C20" s="26"/>
      <x:c r="D20" s="26"/>
      <x:c r="E20" s="26"/>
      <x:c r="F20" s="26"/>
      <x:c r="G20" s="26"/>
      <x:c r="H20" s="26"/>
      <x:c r="I20" s="26"/>
      <x:c r="J20" s="26"/>
    </x:row>
    <x:row r="21" ht="25" customHeight="1">
      <x:c r="A21" s="2"/>
      <x:c r="B21" s="2" t="str">
        <x:v>REBA</x:v>
      </x:c>
      <x:c r="C21" s="2" t="str">
        <x:v>자세 위험도 참고 지표. 부담작업 판정과 별도로 봅니다.</x:v>
      </x:c>
      <x:c r="D21" s="2"/>
      <x:c r="E21" s="2"/>
      <x:c r="F21" s="2"/>
      <x:c r="G21" s="2"/>
      <x:c r="H21" s="2"/>
      <x:c r="I21" s="2"/>
      <x:c r="J21" s="2"/>
    </x:row>
    <x:row r="22" ht="25" customHeight="1">
      <x:c r="A22" s="2"/>
      <x:c r="B22" s="2" t="str">
        <x:v>판정</x:v>
      </x:c>
      <x:c r="C22" s="2" t="str">
        <x:v>자동 결과와 조사자 최종결과를 구분합니다. 미확정 결과는 초안입니다.</x:v>
      </x:c>
      <x:c r="D22" s="2"/>
      <x:c r="E22" s="2"/>
      <x:c r="F22" s="2"/>
      <x:c r="G22" s="2"/>
      <x:c r="H22" s="2"/>
      <x:c r="I22" s="2"/>
      <x:c r="J22" s="2"/>
    </x:row>
    <x:row r="23" ht="25" customHeight="1">
      <x:c r="A23" s="2"/>
      <x:c r="B23" s="2" t="str">
        <x:v>추정 시간</x:v>
      </x:c>
      <x:c r="C23" s="2" t="str">
        <x:v>사진 표본 비율 × 입력 작업시간. 표본 대표성은 조사자가 확인합니다.</x:v>
      </x:c>
      <x:c r="D23" s="2"/>
      <x:c r="E23" s="2"/>
      <x:c r="F23" s="2"/>
      <x:c r="G23" s="2"/>
      <x:c r="H23" s="2"/>
      <x:c r="I23" s="2"/>
      <x:c r="J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5" customHeight="1">
      <x:c r="A25" s="2"/>
      <x:c r="B25" s="4" t="str">
        <x:v>이 파일은 조사 보조 자료입니다. 면담·작업장 상황·증상설문조사는 조사자가 별도로 확인·기록합니다.</x:v>
      </x:c>
      <x:c r="C25" s="4"/>
      <x:c r="D25" s="4"/>
      <x:c r="E25" s="4"/>
      <x:c r="F25" s="4"/>
      <x:c r="G25" s="4"/>
      <x:c r="H25" s="4"/>
      <x:c r="I25" s="4"/>
      <x:c r="J25" s="4"/>
    </x:row>
    <x:row r="26" ht="25" customHeight="1">
      <x:c r="A26" s="2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25" customHeight="1">
      <x:c r="A27" s="2"/>
      <x:c r="B27" s="4" t="str">
        <x:v>작성 중인 조사이므로 다음 정기조사 예정일은 표시하지 않았습니다.</x:v>
      </x:c>
      <x:c r="C27" s="4"/>
      <x:c r="D27" s="4"/>
      <x:c r="E27" s="4"/>
      <x:c r="F27" s="4"/>
      <x:c r="G27" s="4"/>
      <x:c r="H27" s="4"/>
      <x:c r="I27" s="4"/>
      <x:c r="J27" s="4"/>
    </x:row>
    <x:row r="28" ht="25" customHeight="1">
      <x:c r="A28" s="2"/>
      <x:c r="B28" s="4"/>
      <x:c r="C28" s="4"/>
      <x:c r="D28" s="4"/>
      <x:c r="E28" s="4"/>
      <x:c r="F28" s="4"/>
      <x:c r="G28" s="4"/>
      <x:c r="H28" s="4"/>
      <x:c r="I28" s="4"/>
      <x:c r="J28" s="4"/>
    </x:row>
    <x:row r="29" ht="25" customHeight="1">
      <x:c r="A29" s="2"/>
      <x:c r="B29" s="4" t="str">
        <x:v>부담작업 해당 여부 결정과 조사 결과의 책임은 사업주와 조사자에게 있습니다.</x:v>
      </x:c>
      <x:c r="C29" s="4"/>
      <x:c r="D29" s="4"/>
      <x:c r="E29" s="4"/>
      <x:c r="F29" s="4"/>
      <x:c r="G29" s="4"/>
      <x:c r="H29" s="4"/>
      <x:c r="I29" s="4"/>
      <x:c r="J29" s="4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</x:sheetData>
  <x:conditionalFormatting sqref="E13:E15">
    <x:cfRule type="containsText" dxfId="6" priority="1" operator="containsText" text="높음"/>
    <x:cfRule type="containsText" dxfId="7" priority="2" operator="containsText" text="보통"/>
  </x:conditionalFormatting>
  <x:pageMargins left="0.7" right="0.7" top="0.75" bottom="0.75" header="0.3" footer="0.3"/>
  <x:tableParts count="1">
    <x:tablePart xmlns:r="http://schemas.openxmlformats.org/officeDocument/2006/relationships" r:id="Rc786ca2ed1d74355"/>
  </x:tableParts>
</x:worksheet>
</file>

<file path=xl/worksheets/sheet2.xml><?xml version="1.0" encoding="utf-8"?>
<x:worksheet xmlns:x="http://schemas.openxmlformats.org/spreadsheetml/2006/main">
  <x:sheetPr>
    <x:tabColor rgb="FF203047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3" hidden="0" customWidth="1"/>
    <x:col min="2" max="2" width="10" hidden="0" customWidth="1"/>
    <x:col min="3" max="3" width="23" hidden="0" customWidth="1"/>
    <x:col min="4" max="4" width="19" hidden="0" customWidth="1"/>
    <x:col min="5" max="5" width="9" hidden="0" customWidth="1"/>
    <x:col min="6" max="6" width="11" hidden="0" customWidth="1"/>
    <x:col min="7" max="7" width="13" hidden="0" customWidth="1"/>
    <x:col min="8" max="8" width="12" hidden="0" customWidth="1"/>
    <x:col min="9" max="9" width="12" hidden="0" customWidth="1"/>
    <x:col min="10" max="10" width="18" hidden="0" customWidth="1"/>
    <x:col min="11" max="11" width="17" hidden="0" customWidth="1"/>
    <x:col min="12" max="12" width="22" hidden="0" customWidth="1"/>
    <x:col min="13" max="13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4" customHeight="1">
      <x:c r="A2" s="2"/>
      <x:c r="B2" s="3" t="str">
        <x:v>작업별 분석 결과와 표본 근거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2"/>
      <x:c r="B3" s="4" t="str">
        <x:v>가상 데이터 목업 · 2026-10-14 · 실제 조사 결과 아님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/>
      <x:c r="B5" s="2" t="str">
        <x:v>REBA 점수·부위 점수는 가상 목업값입니다. 실제 출력은 분석 엔진의 저장 결과를 사용합니다.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8" customHeight="1">
      <x:c r="A7" s="2"/>
      <x:c r="B7" s="8" t="str">
        <x:v>작업 ID</x:v>
      </x:c>
      <x:c r="C7" s="8" t="str">
        <x:v>단위작업</x:v>
      </x:c>
      <x:c r="D7" s="8" t="str">
        <x:v>하루 작업시간(h)</x:v>
      </x:c>
      <x:c r="E7" s="8" t="str">
        <x:v>REBA</x:v>
      </x:c>
      <x:c r="F7" s="8" t="str">
        <x:v>위험도</x:v>
      </x:c>
      <x:c r="G7" s="8" t="str">
        <x:v>REBA 상태</x:v>
      </x:c>
      <x:c r="H7" s="8" t="str">
        <x:v>전체 사진</x:v>
      </x:c>
      <x:c r="I7" s="8" t="str">
        <x:v>유효 사진</x:v>
      </x:c>
      <x:c r="J7" s="8" t="str">
        <x:v>판별 불가 비율</x:v>
      </x:c>
      <x:c r="K7" s="8" t="str">
        <x:v>대표 사진 ID</x:v>
      </x:c>
      <x:c r="L7" s="8" t="str">
        <x:v>모델</x:v>
      </x:c>
      <x:c r="M7" s="8" t="str">
        <x:v>작업 기간</x:v>
      </x:c>
    </x:row>
    <x:row r="8" ht="25" customHeight="1">
      <x:c r="A8" s="2"/>
      <x:c r="B8" s="9" t="str">
        <x:v>T01</x:v>
      </x:c>
      <x:c r="C8" s="9" t="str">
        <x:v>상자 들어 옮기기</x:v>
      </x:c>
      <x:c r="D8" s="21" t="n">
        <x:v>6</x:v>
      </x:c>
      <x:c r="E8" s="9" t="n">
        <x:v>9</x:v>
      </x:c>
      <x:c r="F8" s="19" t="str">
        <x:v>높음</x:v>
      </x:c>
      <x:c r="G8" s="19" t="str">
        <x:v>잠정</x:v>
      </x:c>
      <x:c r="H8" s="9" t="n">
        <x:v>30</x:v>
      </x:c>
      <x:c r="I8" s="9" t="n">
        <x:v>27</x:v>
      </x:c>
      <x:c r="J8" s="23" t="n">
        <x:f>(H8-I8)/H8</x:f>
        <x:v>0.1</x:v>
      </x:c>
      <x:c r="K8" s="19" t="str">
        <x:v>P014</x:v>
      </x:c>
      <x:c r="L8" s="9" t="str">
        <x:v>MoveNet Lightning</x:v>
      </x:c>
      <x:c r="M8" s="9" t="str">
        <x:v>상시</x:v>
      </x:c>
    </x:row>
    <x:row r="9" ht="25" customHeight="1">
      <x:c r="A9" s="2"/>
      <x:c r="B9" s="10" t="str">
        <x:v>T02</x:v>
      </x:c>
      <x:c r="C9" s="10" t="str">
        <x:v>선반 정리</x:v>
      </x:c>
      <x:c r="D9" s="22" t="n">
        <x:v>4</x:v>
      </x:c>
      <x:c r="E9" s="10" t="n">
        <x:v>6</x:v>
      </x:c>
      <x:c r="F9" s="20" t="str">
        <x:v>보통</x:v>
      </x:c>
      <x:c r="G9" s="20" t="str">
        <x:v>완료</x:v>
      </x:c>
      <x:c r="H9" s="10" t="n">
        <x:v>20</x:v>
      </x:c>
      <x:c r="I9" s="10" t="n">
        <x:v>20</x:v>
      </x:c>
      <x:c r="J9" s="24" t="n">
        <x:f>(H9-I9)/H9</x:f>
        <x:v>0</x:v>
      </x:c>
      <x:c r="K9" s="20" t="str">
        <x:v>P009</x:v>
      </x:c>
      <x:c r="L9" s="10" t="str">
        <x:v>MoveNet Lightning</x:v>
      </x:c>
      <x:c r="M9" s="10" t="str">
        <x:v>상시</x:v>
      </x:c>
    </x:row>
    <x:row r="10" ht="25" customHeight="1">
      <x:c r="A10" s="2"/>
      <x:c r="B10" s="9" t="str">
        <x:v>T03</x:v>
      </x:c>
      <x:c r="C10" s="9" t="str">
        <x:v>수레 밀기</x:v>
      </x:c>
      <x:c r="D10" s="21" t="n">
        <x:v>2</x:v>
      </x:c>
      <x:c r="E10" s="9" t="n">
        <x:v>5</x:v>
      </x:c>
      <x:c r="F10" s="19" t="str">
        <x:v>보통</x:v>
      </x:c>
      <x:c r="G10" s="19" t="str">
        <x:v>완료</x:v>
      </x:c>
      <x:c r="H10" s="9" t="n">
        <x:v>10</x:v>
      </x:c>
      <x:c r="I10" s="9" t="n">
        <x:v>9</x:v>
      </x:c>
      <x:c r="J10" s="23" t="n">
        <x:f>(H10-I10)/H10</x:f>
        <x:v>0.1</x:v>
      </x:c>
      <x:c r="K10" s="19" t="str">
        <x:v>P004</x:v>
      </x:c>
      <x:c r="L10" s="9" t="str">
        <x:v>MoveNet Lightning</x:v>
      </x:c>
      <x:c r="M10" s="9" t="str">
        <x:v>단기간</x:v>
      </x:c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8" customHeight="1">
      <x:c r="A12" s="2"/>
      <x:c r="B12" s="26" t="str">
        <x:v>사진 표본으로 추정한 자세 비율과 하루 노출시간</x:v>
      </x:c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38" customHeight="1">
      <x:c r="A14" s="2"/>
      <x:c r="B14" s="8" t="str">
        <x:v>작업 ID</x:v>
      </x:c>
      <x:c r="C14" s="8" t="str">
        <x:v>자세 항목</x:v>
      </x:c>
      <x:c r="D14" s="8" t="str">
        <x:v>유효 사진 수</x:v>
      </x:c>
      <x:c r="E14" s="8" t="str">
        <x:v>해당 사진 수</x:v>
      </x:c>
      <x:c r="F14" s="8" t="str">
        <x:v>표본 비율</x:v>
      </x:c>
      <x:c r="G14" s="8" t="str">
        <x:v>작업시간(h/일)</x:v>
      </x:c>
      <x:c r="H14" s="8" t="str">
        <x:v>추정 노출(h/일)</x:v>
      </x:c>
      <x:c r="I14" s="8" t="str">
        <x:v>자세 분류 기준</x:v>
      </x:c>
      <x:c r="J14" s="8" t="str">
        <x:v>기준 출처</x:v>
      </x:c>
      <x:c r="K14" s="8" t="str">
        <x:v>관찰 한계</x:v>
      </x:c>
      <x:c r="L14" s="2"/>
      <x:c r="M14" s="2"/>
    </x:row>
    <x:row r="15" ht="43" customHeight="1">
      <x:c r="A15" s="2"/>
      <x:c r="B15" s="9" t="str">
        <x:v>T01</x:v>
      </x:c>
      <x:c r="C15" s="9" t="str">
        <x:v>허리 굽힘</x:v>
      </x:c>
      <x:c r="D15" s="9" t="n">
        <x:v>27</x:v>
      </x:c>
      <x:c r="E15" s="9" t="n">
        <x:v>10</x:v>
      </x:c>
      <x:c r="F15" s="23" t="n">
        <x:f>E15/D15</x:f>
        <x:v>0.37037037037037035</x:v>
      </x:c>
      <x:c r="G15" s="15" t="n">
        <x:v>6</x:v>
      </x:c>
      <x:c r="H15" s="15" t="n">
        <x:f>F15*G15</x:f>
        <x:v>2.2222222222222223</x:v>
      </x:c>
      <x:c r="I15" s="27" t="str">
        <x:v>20° 이상</x:v>
      </x:c>
      <x:c r="J15" s="27" t="str">
        <x:v>해설 전달자료</x:v>
      </x:c>
      <x:c r="K15" s="11" t="str">
        <x:v>지지 조건은 조사자 입력</x:v>
      </x:c>
      <x:c r="L15" s="2"/>
      <x:c r="M15" s="2"/>
    </x:row>
    <x:row r="16" ht="43" customHeight="1">
      <x:c r="A16" s="2"/>
      <x:c r="B16" s="10" t="str">
        <x:v>T01</x:v>
      </x:c>
      <x:c r="C16" s="10" t="str">
        <x:v>위팔 들기</x:v>
      </x:c>
      <x:c r="D16" s="10" t="n">
        <x:v>27</x:v>
      </x:c>
      <x:c r="E16" s="10" t="n">
        <x:v>4</x:v>
      </x:c>
      <x:c r="F16" s="24" t="n">
        <x:f>E16/D16</x:f>
        <x:v>0.14814814814814814</x:v>
      </x:c>
      <x:c r="G16" s="16" t="n">
        <x:v>6</x:v>
      </x:c>
      <x:c r="H16" s="16" t="n">
        <x:f>F16*G16</x:f>
        <x:v>0.8888888888888888</x:v>
      </x:c>
      <x:c r="I16" s="28" t="str">
        <x:v>45° 이상</x:v>
      </x:c>
      <x:c r="J16" s="28" t="str">
        <x:v>해설 전달자료</x:v>
      </x:c>
      <x:c r="K16" s="12" t="str">
        <x:v>측면 사진, 옆 벌림 별도 확인</x:v>
      </x:c>
      <x:c r="L16" s="2"/>
      <x:c r="M16" s="2"/>
    </x:row>
    <x:row r="17" ht="43" customHeight="1">
      <x:c r="A17" s="2"/>
      <x:c r="B17" s="9" t="str">
        <x:v>T01</x:v>
      </x:c>
      <x:c r="C17" s="9" t="str">
        <x:v>무릎 자세</x:v>
      </x:c>
      <x:c r="D17" s="9" t="n">
        <x:v>27</x:v>
      </x:c>
      <x:c r="E17" s="9" t="n">
        <x:v>1</x:v>
      </x:c>
      <x:c r="F17" s="23" t="n">
        <x:f>E17/D17</x:f>
        <x:v>0.037037037037037035</x:v>
      </x:c>
      <x:c r="G17" s="15" t="n">
        <x:v>6</x:v>
      </x:c>
      <x:c r="H17" s="15" t="n">
        <x:f>F17*G17</x:f>
        <x:v>0.2222222222222222</x:v>
      </x:c>
      <x:c r="I17" s="27" t="str">
        <x:v>조사자 확인</x:v>
      </x:c>
      <x:c r="J17" s="27" t="str">
        <x:v>사람 확인</x:v>
      </x:c>
      <x:c r="K17" s="11" t="str">
        <x:v>발끝·바닥 접촉 확인 필요</x:v>
      </x:c>
      <x:c r="L17" s="2"/>
      <x:c r="M17" s="2"/>
    </x:row>
    <x:row r="18" ht="43" customHeight="1">
      <x:c r="A18" s="2"/>
      <x:c r="B18" s="10" t="str">
        <x:v>T02</x:v>
      </x:c>
      <x:c r="C18" s="10" t="str">
        <x:v>허리 굽힘</x:v>
      </x:c>
      <x:c r="D18" s="10" t="n">
        <x:v>20</x:v>
      </x:c>
      <x:c r="E18" s="10" t="n">
        <x:v>3</x:v>
      </x:c>
      <x:c r="F18" s="24" t="n">
        <x:f>E18/D18</x:f>
        <x:v>0.15</x:v>
      </x:c>
      <x:c r="G18" s="16" t="n">
        <x:v>4</x:v>
      </x:c>
      <x:c r="H18" s="16" t="n">
        <x:f>F18*G18</x:f>
        <x:v>0.6</x:v>
      </x:c>
      <x:c r="I18" s="28" t="str">
        <x:v>20° 이상</x:v>
      </x:c>
      <x:c r="J18" s="28" t="str">
        <x:v>해설 전달자료</x:v>
      </x:c>
      <x:c r="K18" s="12" t="str">
        <x:v>각도 기준은 잠정</x:v>
      </x:c>
      <x:c r="L18" s="2"/>
      <x:c r="M18" s="2"/>
    </x:row>
    <x:row r="19" ht="43" customHeight="1">
      <x:c r="A19" s="2"/>
      <x:c r="B19" s="9" t="str">
        <x:v>T02</x:v>
      </x:c>
      <x:c r="C19" s="9" t="str">
        <x:v>위팔 들기</x:v>
      </x:c>
      <x:c r="D19" s="9" t="n">
        <x:v>20</x:v>
      </x:c>
      <x:c r="E19" s="9" t="n">
        <x:v>12</x:v>
      </x:c>
      <x:c r="F19" s="23" t="n">
        <x:f>E19/D19</x:f>
        <x:v>0.6</x:v>
      </x:c>
      <x:c r="G19" s="15" t="n">
        <x:v>4</x:v>
      </x:c>
      <x:c r="H19" s="15" t="n">
        <x:f>F19*G19</x:f>
        <x:v>2.4</x:v>
      </x:c>
      <x:c r="I19" s="27" t="str">
        <x:v>45° 이상</x:v>
      </x:c>
      <x:c r="J19" s="27" t="str">
        <x:v>해설 전달자료</x:v>
      </x:c>
      <x:c r="K19" s="11" t="str">
        <x:v>조사자 확인 완료(예시)</x:v>
      </x:c>
      <x:c r="L19" s="2"/>
      <x:c r="M19" s="2"/>
    </x:row>
    <x:row r="20" ht="43" customHeight="1">
      <x:c r="A20" s="2"/>
      <x:c r="B20" s="10" t="str">
        <x:v>T03</x:v>
      </x:c>
      <x:c r="C20" s="10" t="str">
        <x:v>허리 굽힘</x:v>
      </x:c>
      <x:c r="D20" s="10" t="n">
        <x:v>9</x:v>
      </x:c>
      <x:c r="E20" s="10" t="n">
        <x:v>4</x:v>
      </x:c>
      <x:c r="F20" s="24" t="n">
        <x:f>E20/D20</x:f>
        <x:v>0.4444444444444444</x:v>
      </x:c>
      <x:c r="G20" s="16" t="n">
        <x:v>2</x:v>
      </x:c>
      <x:c r="H20" s="16" t="n">
        <x:f>F20*G20</x:f>
        <x:v>0.8888888888888888</x:v>
      </x:c>
      <x:c r="I20" s="28" t="str">
        <x:v>20° 이상</x:v>
      </x:c>
      <x:c r="J20" s="28" t="str">
        <x:v>해설 전달자료</x:v>
      </x:c>
      <x:c r="K20" s="12" t="str">
        <x:v>기간 제외와 별개로 자세 참고</x:v>
      </x:c>
      <x:c r="L20" s="2"/>
      <x:c r="M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5" customHeight="1">
      <x:c r="A22" s="2"/>
      <x:c r="B22" s="4" t="str">
        <x:v>노출시간 = 유효 사진 중 해당 자세 비율 × 조사자가 입력한 하루 작업시간. 균등 간격·대표 표본이라는 가정의 추정치입니다.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8" customHeight="1">
      <x:c r="A24" s="2"/>
      <x:c r="B24" s="26" t="str">
        <x:v>대표 사진 영역과 REBA 부위 점수</x:v>
      </x:c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5" customHeight="1">
      <x:c r="A26" s="2"/>
      <x:c r="B26" s="2" t="str">
        <x:v>T01 · 상자 들어 옮기기</x:v>
      </x:c>
      <x:c r="C26" s="2"/>
      <x:c r="D26" s="2"/>
      <x:c r="E26" s="2"/>
      <x:c r="F26" s="2" t="str">
        <x:v>T02 · 선반 정리</x:v>
      </x:c>
      <x:c r="G26" s="2"/>
      <x:c r="H26" s="2"/>
      <x:c r="I26" s="2"/>
      <x:c r="J26" s="2" t="str">
        <x:v>T03 · 수레 밀기</x:v>
      </x:c>
      <x:c r="K26" s="2"/>
      <x:c r="L26" s="2"/>
      <x:c r="M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5" customHeight="1">
      <x:c r="A38" s="2"/>
      <x:c r="B38" s="2" t="str">
        <x:v>목업 도식 · 실제 출력은 얼굴 가린 사진</x:v>
      </x:c>
      <x:c r="C38" s="2"/>
      <x:c r="D38" s="2"/>
      <x:c r="E38" s="2"/>
      <x:c r="F38" s="2" t="str">
        <x:v>목업 도식 · 실제 출력은 얼굴 가린 사진</x:v>
      </x:c>
      <x:c r="G38" s="2"/>
      <x:c r="H38" s="2"/>
      <x:c r="I38" s="2"/>
      <x:c r="J38" s="2" t="str">
        <x:v>목업 도식 · 실제 출력은 얼굴 가린 사진</x:v>
      </x:c>
      <x:c r="K38" s="2"/>
      <x:c r="L38" s="2"/>
      <x:c r="M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38" customHeight="1">
      <x:c r="A40" s="2"/>
      <x:c r="B40" s="8" t="str">
        <x:v>작업 ID</x:v>
      </x:c>
      <x:c r="C40" s="8" t="str">
        <x:v>목 점수</x:v>
      </x:c>
      <x:c r="D40" s="8" t="str">
        <x:v>몸통 점수</x:v>
      </x:c>
      <x:c r="E40" s="8" t="str">
        <x:v>다리 점수</x:v>
      </x:c>
      <x:c r="F40" s="8" t="str">
        <x:v>위팔 점수</x:v>
      </x:c>
      <x:c r="G40" s="8" t="str">
        <x:v>아래팔 점수</x:v>
      </x:c>
      <x:c r="H40" s="8" t="str">
        <x:v>손목 점수</x:v>
      </x:c>
      <x:c r="I40" s="8" t="str">
        <x:v>REBA 최종</x:v>
      </x:c>
      <x:c r="J40" s="2"/>
      <x:c r="K40" s="2"/>
      <x:c r="L40" s="2"/>
      <x:c r="M40" s="2"/>
    </x:row>
    <x:row r="41" ht="25" customHeight="1">
      <x:c r="A41" s="2"/>
      <x:c r="B41" s="9" t="str">
        <x:v>T01</x:v>
      </x:c>
      <x:c r="C41" s="9" t="n">
        <x:v>2</x:v>
      </x:c>
      <x:c r="D41" s="9" t="n">
        <x:v>4</x:v>
      </x:c>
      <x:c r="E41" s="9" t="n">
        <x:v>2</x:v>
      </x:c>
      <x:c r="F41" s="9" t="n">
        <x:v>4</x:v>
      </x:c>
      <x:c r="G41" s="9" t="n">
        <x:v>2</x:v>
      </x:c>
      <x:c r="H41" s="9" t="n">
        <x:v>2</x:v>
      </x:c>
      <x:c r="I41" s="9" t="n">
        <x:v>9</x:v>
      </x:c>
      <x:c r="J41" s="2"/>
      <x:c r="K41" s="2"/>
      <x:c r="L41" s="2"/>
      <x:c r="M41" s="2"/>
    </x:row>
    <x:row r="42" ht="25" customHeight="1">
      <x:c r="A42" s="2"/>
      <x:c r="B42" s="10" t="str">
        <x:v>T02</x:v>
      </x:c>
      <x:c r="C42" s="10" t="n">
        <x:v>1</x:v>
      </x:c>
      <x:c r="D42" s="10" t="n">
        <x:v>2</x:v>
      </x:c>
      <x:c r="E42" s="10" t="n">
        <x:v>1</x:v>
      </x:c>
      <x:c r="F42" s="10" t="n">
        <x:v>4</x:v>
      </x:c>
      <x:c r="G42" s="10" t="n">
        <x:v>1</x:v>
      </x:c>
      <x:c r="H42" s="10" t="n">
        <x:v>1</x:v>
      </x:c>
      <x:c r="I42" s="10" t="n">
        <x:v>6</x:v>
      </x:c>
      <x:c r="J42" s="2"/>
      <x:c r="K42" s="2"/>
      <x:c r="L42" s="2"/>
      <x:c r="M42" s="2"/>
    </x:row>
    <x:row r="43" ht="25" customHeight="1">
      <x:c r="A43" s="2"/>
      <x:c r="B43" s="9" t="str">
        <x:v>T03</x:v>
      </x:c>
      <x:c r="C43" s="9" t="n">
        <x:v>1</x:v>
      </x:c>
      <x:c r="D43" s="9" t="n">
        <x:v>3</x:v>
      </x:c>
      <x:c r="E43" s="9" t="n">
        <x:v>1</x:v>
      </x:c>
      <x:c r="F43" s="9" t="n">
        <x:v>2</x:v>
      </x:c>
      <x:c r="G43" s="9" t="n">
        <x:v>2</x:v>
      </x:c>
      <x:c r="H43" s="9" t="n">
        <x:v>1</x:v>
      </x:c>
      <x:c r="I43" s="9" t="n">
        <x:v>5</x:v>
      </x:c>
      <x:c r="J43" s="2"/>
      <x:c r="K43" s="2"/>
      <x:c r="L43" s="2"/>
      <x:c r="M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5" customHeight="1">
      <x:c r="A45" s="2"/>
      <x:c r="B45" s="4" t="str">
        <x:v>REBA 최종 점수는 부위 점수의 단순 합이 아닙니다. 실제 출력은 표 A·B·C와 하중·손잡이·활동을 반영한 엔진 결과입니다.</x:v>
      </x:c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28" customHeight="1">
      <x:c r="A47" s="2"/>
      <x:c r="B47" s="26" t="str">
        <x:v>목업 입력과 근거</x:v>
      </x:c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5" customHeight="1">
      <x:c r="A49" s="2"/>
      <x:c r="B49" s="4" t="str">
        <x:v>모든 작업·인원·점수·판정·시각은 화면 구성용 가상 예시입니다.</x:v>
      </x:c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</x:row>
    <x:row r="50" ht="25" customHeight="1">
      <x:c r="A50" s="2"/>
      <x:c r="B50" s="4" t="str">
        <x:v>법 기준: 고용노동부고시 제2020-12호 제2·3조</x:v>
      </x:c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</x:row>
    <x:row r="51" ht="25" customHeight="1">
      <x:c r="A51" s="2"/>
      <x:c r="B51" s="4" t="str">
        <x:v>https://www.law.go.kr/admRulInfoP.do?admRulSeq=2100000185793</x:v>
      </x:c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</x:row>
    <x:row r="52" ht="25" customHeight="1">
      <x:c r="A52" s="2"/>
      <x:c r="B52" s="4" t="str">
        <x:v>각도 기준: 팀의 해설 전달자료 2010·2011·2014년 기록. 고용노동부 해설 원문 미확보.</x:v>
      </x:c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</x:row>
    <x:row r="53" ht="25" customHeight="1">
      <x:c r="A53" s="2"/>
      <x:c r="B53" s="4" t="str">
        <x:v>보고서 구조: LOCO API 계약서 7.1절. 엔진 계산결과와 조사자 확인을 별도 컬럼으로 출력.</x:v>
      </x:c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</x:row>
    <x:row r="54" ht="25" customHeight="1">
      <x:c r="A54" s="2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</x:row>
    <x:row r="55" ht="25" customHeight="1">
      <x:c r="A55" s="2"/>
      <x:c r="B55" s="4" t="str">
        <x:v>부담작업 해당 여부 결정과 조사 결과의 책임은 사업주와 조사자에게 있습니다.</x:v>
      </x:c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 ht="2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</x:sheetData>
  <x:conditionalFormatting sqref="F8:F10">
    <x:cfRule type="containsText" dxfId="3" priority="1" operator="containsText" text="높음"/>
    <x:cfRule type="containsText" dxfId="4" priority="2" operator="containsText" text="보통"/>
  </x:conditionalFormatting>
  <x:pageMargins left="0.7" right="0.7" top="0.75" bottom="0.75" header="0.3" footer="0.3"/>
  <x:drawing xmlns:r="http://schemas.openxmlformats.org/officeDocument/2006/relationships" r:id="R477f2b99f4444bdd"/>
  <x:tableParts count="3">
    <x:tablePart xmlns:r="http://schemas.openxmlformats.org/officeDocument/2006/relationships" r:id="Rfc20c0fbb5ad49c2"/>
    <x:tablePart xmlns:r="http://schemas.openxmlformats.org/officeDocument/2006/relationships" r:id="Rc6a8b48400b044d2"/>
    <x:tablePart xmlns:r="http://schemas.openxmlformats.org/officeDocument/2006/relationships" r:id="R97a47d97476c436b"/>
  </x:tableParts>
</x:worksheet>
</file>

<file path=xl/worksheets/sheet3.xml><?xml version="1.0" encoding="utf-8"?>
<x:worksheet xmlns:x="http://schemas.openxmlformats.org/spreadsheetml/2006/main">
  <x:sheetPr>
    <x:tabColor rgb="FF203047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3" hidden="0" customWidth="1"/>
    <x:col min="2" max="2" width="12" hidden="0" customWidth="1"/>
    <x:col min="3" max="3" width="10" hidden="0" customWidth="1"/>
    <x:col min="4" max="4" width="23" hidden="0" customWidth="1"/>
    <x:col min="5" max="5" width="6" hidden="0" customWidth="1"/>
    <x:col min="6" max="6" width="14" hidden="0" customWidth="1"/>
    <x:col min="7" max="7" width="31" hidden="0" customWidth="1"/>
    <x:col min="8" max="8" width="41" hidden="0" customWidth="1"/>
    <x:col min="9" max="9" width="21" hidden="0" customWidth="1"/>
    <x:col min="10" max="10" width="21" hidden="0" customWidth="1"/>
    <x:col min="11" max="11" width="49" hidden="0" customWidth="1"/>
    <x:col min="12" max="12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2"/>
      <x:c r="B2" s="3" t="str">
        <x:v>확인·조치가 필요한 기록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/>
      <x:c r="B3" s="4" t="str">
        <x:v>가상 데이터 목업 · 2026-10-14 · 실제 조사 결과 아님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 t="str">
        <x:v>경고는 판정 근거와 조사자 확인을 함께 봅니다. REBA 점수만으로 부담작업 해당 여부를 결정하지 않습니다.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8" customHeight="1">
      <x:c r="A7" s="2"/>
      <x:c r="B7" s="8" t="str">
        <x:v>기록 ID</x:v>
      </x:c>
      <x:c r="C7" s="8" t="str">
        <x:v>작업 ID</x:v>
      </x:c>
      <x:c r="D7" s="8" t="str">
        <x:v>단위작업</x:v>
      </x:c>
      <x:c r="E7" s="8" t="str">
        <x:v>호</x:v>
      </x:c>
      <x:c r="F7" s="8" t="str">
        <x:v>상태</x:v>
      </x:c>
      <x:c r="G7" s="8" t="str">
        <x:v>알림 내용</x:v>
      </x:c>
      <x:c r="H7" s="8" t="str">
        <x:v>판정 근거</x:v>
      </x:c>
      <x:c r="I7" s="8" t="str">
        <x:v>발생 시각</x:v>
      </x:c>
      <x:c r="J7" s="8" t="str">
        <x:v>해제 시각</x:v>
      </x:c>
      <x:c r="K7" s="8" t="str">
        <x:v>조사자 확인·조치</x:v>
      </x:c>
      <x:c r="L7" s="8" t="str">
        <x:v>문장 출처</x:v>
      </x:c>
    </x:row>
    <x:row r="8" ht="56" customHeight="1">
      <x:c r="A8" s="2"/>
      <x:c r="B8" s="9" t="str">
        <x:v>W001</x:v>
      </x:c>
      <x:c r="C8" s="9" t="str">
        <x:v>T01</x:v>
      </x:c>
      <x:c r="D8" s="9" t="str">
        <x:v>상자 들어 옮기기</x:v>
      </x:c>
      <x:c r="E8" s="9" t="n">
        <x:v>4</x:v>
      </x:c>
      <x:c r="F8" s="19" t="str">
        <x:v>발생 중</x:v>
      </x:c>
      <x:c r="G8" s="11" t="str">
        <x:v>허리 자세의 노출시간 확인</x:v>
      </x:c>
      <x:c r="H8" s="11" t="str">
        <x:v>추정 2.22h/일·지지 조건 확인</x:v>
      </x:c>
      <x:c r="I8" s="17" t="d">
        <x:v>2026-10-14T10:30:00.000Z</x:v>
      </x:c>
      <x:c r="J8" s="17"/>
      <x:c r="K8" s="11" t="str">
        <x:v>사진 표본 대표성 확인 후 받침 높이 검토</x:v>
      </x:c>
      <x:c r="L8" s="9" t="str">
        <x:v>기본 문구</x:v>
      </x:c>
    </x:row>
    <x:row r="9" ht="56" customHeight="1">
      <x:c r="A9" s="2"/>
      <x:c r="B9" s="10" t="str">
        <x:v>W002</x:v>
      </x:c>
      <x:c r="C9" s="10" t="str">
        <x:v>T01</x:v>
      </x:c>
      <x:c r="D9" s="10" t="str">
        <x:v>상자 들어 옮기기</x:v>
      </x:c>
      <x:c r="E9" s="10" t="n">
        <x:v>9</x:v>
      </x:c>
      <x:c r="F9" s="20" t="str">
        <x:v>확인 필요</x:v>
      </x:c>
      <x:c r="G9" s="12" t="str">
        <x:v>들기 위치 확인 필요</x:v>
      </x:c>
      <x:c r="H9" s="12" t="str">
        <x:v>12kg·30회/일, 위치 미확정</x:v>
      </x:c>
      <x:c r="I9" s="18" t="d">
        <x:v>2026-10-14T10:30:00.000Z</x:v>
      </x:c>
      <x:c r="J9" s="18"/>
      <x:c r="K9" s="12" t="str">
        <x:v>작업 관찰로 위치 확인</x:v>
      </x:c>
      <x:c r="L9" s="10" t="str">
        <x:v>기본 문구</x:v>
      </x:c>
    </x:row>
    <x:row r="10" ht="56" customHeight="1">
      <x:c r="A10" s="2"/>
      <x:c r="B10" s="9" t="str">
        <x:v>W003</x:v>
      </x:c>
      <x:c r="C10" s="9" t="str">
        <x:v>T02</x:v>
      </x:c>
      <x:c r="D10" s="9" t="str">
        <x:v>선반 정리</x:v>
      </x:c>
      <x:c r="E10" s="9" t="n">
        <x:v>3</x:v>
      </x:c>
      <x:c r="F10" s="19" t="str">
        <x:v>발생 중</x:v>
      </x:c>
      <x:c r="G10" s="11" t="str">
        <x:v>위팔 들기 노출시간 확인</x:v>
      </x:c>
      <x:c r="H10" s="11" t="str">
        <x:v>위팔 들기 추정 2.40h/일</x:v>
      </x:c>
      <x:c r="I10" s="17" t="d">
        <x:v>2026-10-14T10:30:00.000Z</x:v>
      </x:c>
      <x:c r="J10" s="17"/>
      <x:c r="K10" s="11" t="str">
        <x:v>상부 선반 높이 조정 검토</x:v>
      </x:c>
      <x:c r="L10" s="9" t="str">
        <x:v>기본 문구</x:v>
      </x:c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5" customHeight="1">
      <x:c r="A13" s="2"/>
      <x:c r="B13" s="4" t="str">
        <x:v>부담작업 해당 여부 결정과 조사 결과의 책임은 사업주와 조사자에게 있습니다.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</x:sheetData>
  <x:conditionalFormatting sqref="F8:F10">
    <x:cfRule type="containsText" dxfId="5" priority="1" operator="containsText" text="확인 필요"/>
  </x:conditionalFormatting>
  <x:pageMargins left="0.7" right="0.7" top="0.75" bottom="0.75" header="0.3" footer="0.3"/>
  <x:tableParts count="1">
    <x:tablePart xmlns:r="http://schemas.openxmlformats.org/officeDocument/2006/relationships" r:id="R03c6e794caa840fa"/>
  </x:tableParts>
</x:worksheet>
</file>

<file path=xl/worksheets/sheet4.xml><?xml version="1.0" encoding="utf-8"?>
<x:worksheet xmlns:x="http://schemas.openxmlformats.org/spreadsheetml/2006/main">
  <x:sheetPr>
    <x:tabColor rgb="FF203047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3" hidden="0" customWidth="1"/>
    <x:col min="2" max="2" width="10" hidden="0" customWidth="1"/>
    <x:col min="3" max="3" width="23" hidden="0" customWidth="1"/>
    <x:col min="4" max="4" width="5" hidden="0" customWidth="1"/>
    <x:col min="5" max="5" width="18" hidden="0" customWidth="1"/>
    <x:col min="6" max="6" width="13" hidden="0" customWidth="1"/>
    <x:col min="7" max="7" width="11" hidden="0" customWidth="1"/>
    <x:col min="8" max="8" width="15" hidden="0" customWidth="1"/>
    <x:col min="9" max="9" width="50" hidden="0" customWidth="1"/>
    <x:col min="10" max="10" width="17" hidden="0" customWidth="1"/>
    <x:col min="11" max="11" width="13" hidden="0" customWidth="1"/>
    <x:col min="12" max="12" width="34" hidden="0" customWidth="1"/>
    <x:col min="13" max="13" width="22" hidden="0" customWidth="1"/>
    <x:col min="14" max="14" width="43" hidden="0" customWidth="1"/>
    <x:col min="15" max="15" width="15" hidden="0" customWidth="1"/>
    <x:col min="16" max="16" width="21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4" customHeight="1">
      <x:c r="A2" s="2"/>
      <x:c r="B2" s="3" t="str">
        <x:v>부담작업 판정 근거와 조사자 확인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2"/>
      <x:c r="B3" s="4" t="str">
        <x:v>가상 데이터 목업 · 2026-10-14 · 실제 조사 결과 아님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5" customHeight="1">
      <x:c r="A5" s="2"/>
      <x:c r="B5" s="2" t="str">
        <x:v>빈 최종결과는 미확정입니다. 입력 필요와 비해당을 구분합니다.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8" customHeight="1">
      <x:c r="A7" s="2"/>
      <x:c r="B7" s="8" t="str">
        <x:v>작업 ID</x:v>
      </x:c>
      <x:c r="C7" s="8" t="str">
        <x:v>단위작업</x:v>
      </x:c>
      <x:c r="D7" s="8" t="str">
        <x:v>호</x:v>
      </x:c>
      <x:c r="E7" s="8" t="str">
        <x:v>기준 이름</x:v>
      </x:c>
      <x:c r="F7" s="8" t="str">
        <x:v>자동 결과</x:v>
      </x:c>
      <x:c r="G7" s="8" t="str">
        <x:v>검토 상태</x:v>
      </x:c>
      <x:c r="H7" s="8" t="str">
        <x:v>조사자 최종결과</x:v>
      </x:c>
      <x:c r="I7" s="8" t="str">
        <x:v>판정 근거</x:v>
      </x:c>
      <x:c r="J7" s="8" t="str">
        <x:v>관찰·입력 값</x:v>
      </x:c>
      <x:c r="K7" s="8" t="str">
        <x:v>단위</x:v>
      </x:c>
      <x:c r="L7" s="8" t="str">
        <x:v>비교 조건</x:v>
      </x:c>
      <x:c r="M7" s="8" t="str">
        <x:v>법 기준 출처</x:v>
      </x:c>
      <x:c r="N7" s="8" t="str">
        <x:v>확인 필요 사유</x:v>
      </x:c>
      <x:c r="O7" s="8" t="str">
        <x:v>확정자</x:v>
      </x:c>
      <x:c r="P7" s="8" t="str">
        <x:v>확정 시각</x:v>
      </x:c>
    </x:row>
    <x:row r="8" ht="44" customHeight="1">
      <x:c r="A8" s="2"/>
      <x:c r="B8" s="9" t="str">
        <x:v>T01</x:v>
      </x:c>
      <x:c r="C8" s="9" t="str">
        <x:v>상자 들어 옮기기</x:v>
      </x:c>
      <x:c r="D8" s="13" t="n">
        <x:v>1</x:v>
      </x:c>
      <x:c r="E8" s="9" t="str">
        <x:v>집중 자료입력</x:v>
      </x:c>
      <x:c r="F8" s="19" t="str">
        <x:v>입력 필요</x:v>
      </x:c>
      <x:c r="G8" s="19" t="str">
        <x:v>초안</x:v>
      </x:c>
      <x:c r="H8" s="19"/>
      <x:c r="I8" s="11" t="str">
        <x:v>집중 입력시간과 조절 가능 여부 미입력</x:v>
      </x:c>
      <x:c r="J8" s="15"/>
      <x:c r="K8" s="9" t="str">
        <x:v>시간/일</x:v>
      </x:c>
      <x:c r="L8" s="9" t="str">
        <x:v>조건별 비교</x:v>
      </x:c>
      <x:c r="M8" s="11" t="str">
        <x:v>고시 제3조 1호</x:v>
      </x:c>
      <x:c r="N8" s="11" t="str">
        <x:v>필수 입력 없음</x:v>
      </x:c>
      <x:c r="O8" s="9"/>
      <x:c r="P8" s="17"/>
    </x:row>
    <x:row r="9" ht="44" customHeight="1">
      <x:c r="A9" s="2"/>
      <x:c r="B9" s="10" t="str">
        <x:v>T01</x:v>
      </x:c>
      <x:c r="C9" s="10" t="str">
        <x:v>상자 들어 옮기기</x:v>
      </x:c>
      <x:c r="D9" s="14" t="n">
        <x:v>2</x:v>
      </x:c>
      <x:c r="E9" s="10" t="str">
        <x:v>같은 동작 반복</x:v>
      </x:c>
      <x:c r="F9" s="20" t="str">
        <x:v>비해당</x:v>
      </x:c>
      <x:c r="G9" s="20" t="str">
        <x:v>초안</x:v>
      </x:c>
      <x:c r="H9" s="20"/>
      <x:c r="I9" s="12" t="str">
        <x:v>같은 동작 반복시간 1.0시간</x:v>
      </x:c>
      <x:c r="J9" s="16" t="n">
        <x:v>1</x:v>
      </x:c>
      <x:c r="K9" s="10" t="str">
        <x:v>시간/일</x:v>
      </x:c>
      <x:c r="L9" s="10" t="str">
        <x:v>2시간 이상</x:v>
      </x:c>
      <x:c r="M9" s="12" t="str">
        <x:v>고시 제3조 2호</x:v>
      </x:c>
      <x:c r="N9" s="12" t="str"/>
      <x:c r="O9" s="10"/>
      <x:c r="P9" s="18"/>
    </x:row>
    <x:row r="10" ht="44" customHeight="1">
      <x:c r="A10" s="2"/>
      <x:c r="B10" s="9" t="str">
        <x:v>T01</x:v>
      </x:c>
      <x:c r="C10" s="9" t="str">
        <x:v>상자 들어 옮기기</x:v>
      </x:c>
      <x:c r="D10" s="13" t="n">
        <x:v>3</x:v>
      </x:c>
      <x:c r="E10" s="9" t="str">
        <x:v>팔·어깨 자세</x:v>
      </x:c>
      <x:c r="F10" s="19" t="str">
        <x:v>비해당</x:v>
      </x:c>
      <x:c r="G10" s="19" t="str">
        <x:v>초안</x:v>
      </x:c>
      <x:c r="H10" s="19"/>
      <x:c r="I10" s="11" t="str">
        <x:v>위팔 들기 추정 0.89시간</x:v>
      </x:c>
      <x:c r="J10" s="15" t="n">
        <x:v>0.89</x:v>
      </x:c>
      <x:c r="K10" s="9" t="str">
        <x:v>시간/일</x:v>
      </x:c>
      <x:c r="L10" s="9" t="str">
        <x:v>2시간 이상</x:v>
      </x:c>
      <x:c r="M10" s="11" t="str">
        <x:v>고시 제3조 3호</x:v>
      </x:c>
      <x:c r="N10" s="11" t="str"/>
      <x:c r="O10" s="9"/>
      <x:c r="P10" s="17"/>
    </x:row>
    <x:row r="11" ht="44" customHeight="1">
      <x:c r="A11" s="2"/>
      <x:c r="B11" s="10" t="str">
        <x:v>T01</x:v>
      </x:c>
      <x:c r="C11" s="10" t="str">
        <x:v>상자 들어 옮기기</x:v>
      </x:c>
      <x:c r="D11" s="14" t="n">
        <x:v>4</x:v>
      </x:c>
      <x:c r="E11" s="10" t="str">
        <x:v>목·허리 자세</x:v>
      </x:c>
      <x:c r="F11" s="20" t="str">
        <x:v>해당</x:v>
      </x:c>
      <x:c r="G11" s="20" t="str">
        <x:v>확정</x:v>
      </x:c>
      <x:c r="H11" s="20" t="str">
        <x:v>해당</x:v>
      </x:c>
      <x:c r="I11" s="12" t="str">
        <x:v>허리 굽힘 추정 2.22시간, 지지 조건 조사자 확인</x:v>
      </x:c>
      <x:c r="J11" s="16" t="n">
        <x:v>2.22</x:v>
      </x:c>
      <x:c r="K11" s="10" t="str">
        <x:v>시간/일</x:v>
      </x:c>
      <x:c r="L11" s="10" t="str">
        <x:v>2시간 이상 + 자세·지지 조건</x:v>
      </x:c>
      <x:c r="M11" s="12" t="str">
        <x:v>고시 제3조 4호</x:v>
      </x:c>
      <x:c r="N11" s="12" t="str"/>
      <x:c r="O11" s="10" t="str">
        <x:v>조사자 A</x:v>
      </x:c>
      <x:c r="P11" s="18" t="d">
        <x:v>2026-10-14T10:30:00.000Z</x:v>
      </x:c>
    </x:row>
    <x:row r="12" ht="44" customHeight="1">
      <x:c r="A12" s="2"/>
      <x:c r="B12" s="9" t="str">
        <x:v>T01</x:v>
      </x:c>
      <x:c r="C12" s="9" t="str">
        <x:v>상자 들어 옮기기</x:v>
      </x:c>
      <x:c r="D12" s="13" t="n">
        <x:v>5</x:v>
      </x:c>
      <x:c r="E12" s="9" t="str">
        <x:v>쪼그림·무릎 자세</x:v>
      </x:c>
      <x:c r="F12" s="19" t="str">
        <x:v>비해당</x:v>
      </x:c>
      <x:c r="G12" s="19" t="str">
        <x:v>초안</x:v>
      </x:c>
      <x:c r="H12" s="19"/>
      <x:c r="I12" s="11" t="str">
        <x:v>무릎 자세 추정 0.22시간</x:v>
      </x:c>
      <x:c r="J12" s="15" t="n">
        <x:v>0.22</x:v>
      </x:c>
      <x:c r="K12" s="9" t="str">
        <x:v>시간/일</x:v>
      </x:c>
      <x:c r="L12" s="9" t="str">
        <x:v>2시간 이상</x:v>
      </x:c>
      <x:c r="M12" s="11" t="str">
        <x:v>고시 제3조 5호</x:v>
      </x:c>
      <x:c r="N12" s="11" t="str"/>
      <x:c r="O12" s="9"/>
      <x:c r="P12" s="17"/>
    </x:row>
    <x:row r="13" ht="44" customHeight="1">
      <x:c r="A13" s="2"/>
      <x:c r="B13" s="10" t="str">
        <x:v>T01</x:v>
      </x:c>
      <x:c r="C13" s="10" t="str">
        <x:v>상자 들어 옮기기</x:v>
      </x:c>
      <x:c r="D13" s="14" t="n">
        <x:v>6</x:v>
      </x:c>
      <x:c r="E13" s="10" t="str">
        <x:v>손가락 힘</x:v>
      </x:c>
      <x:c r="F13" s="20" t="str">
        <x:v>비해당</x:v>
      </x:c>
      <x:c r="G13" s="20" t="str">
        <x:v>초안</x:v>
      </x:c>
      <x:c r="H13" s="20"/>
      <x:c r="I13" s="12" t="str">
        <x:v>입력값이 해당 조건을 충족하지 않음</x:v>
      </x:c>
      <x:c r="J13" s="16" t="str">
        <x:v>입력값 확인</x:v>
      </x:c>
      <x:c r="K13" s="10" t="str">
        <x:v>—</x:v>
      </x:c>
      <x:c r="L13" s="10" t="str">
        <x:v>조건별 비교</x:v>
      </x:c>
      <x:c r="M13" s="12" t="str">
        <x:v>고시 제3조 6호</x:v>
      </x:c>
      <x:c r="N13" s="12" t="str"/>
      <x:c r="O13" s="10"/>
      <x:c r="P13" s="18"/>
    </x:row>
    <x:row r="14" ht="44" customHeight="1">
      <x:c r="A14" s="2"/>
      <x:c r="B14" s="9" t="str">
        <x:v>T01</x:v>
      </x:c>
      <x:c r="C14" s="9" t="str">
        <x:v>상자 들어 옮기기</x:v>
      </x:c>
      <x:c r="D14" s="13" t="n">
        <x:v>7</x:v>
      </x:c>
      <x:c r="E14" s="9" t="str">
        <x:v>한 손 들기·힘</x:v>
      </x:c>
      <x:c r="F14" s="19" t="str">
        <x:v>비해당</x:v>
      </x:c>
      <x:c r="G14" s="19" t="str">
        <x:v>초안</x:v>
      </x:c>
      <x:c r="H14" s="19"/>
      <x:c r="I14" s="11" t="str">
        <x:v>입력값이 해당 조건을 충족하지 않음</x:v>
      </x:c>
      <x:c r="J14" s="15" t="str">
        <x:v>입력값 확인</x:v>
      </x:c>
      <x:c r="K14" s="9" t="str">
        <x:v>—</x:v>
      </x:c>
      <x:c r="L14" s="9" t="str">
        <x:v>조건별 비교</x:v>
      </x:c>
      <x:c r="M14" s="11" t="str">
        <x:v>고시 제3조 7호</x:v>
      </x:c>
      <x:c r="N14" s="11" t="str"/>
      <x:c r="O14" s="9"/>
      <x:c r="P14" s="17"/>
    </x:row>
    <x:row r="15" ht="44" customHeight="1">
      <x:c r="A15" s="2"/>
      <x:c r="B15" s="10" t="str">
        <x:v>T01</x:v>
      </x:c>
      <x:c r="C15" s="10" t="str">
        <x:v>상자 들어 옮기기</x:v>
      </x:c>
      <x:c r="D15" s="14" t="n">
        <x:v>8</x:v>
      </x:c>
      <x:c r="E15" s="10" t="str">
        <x:v>25kg 이상 들기</x:v>
      </x:c>
      <x:c r="F15" s="20" t="str">
        <x:v>비해당</x:v>
      </x:c>
      <x:c r="G15" s="20" t="str">
        <x:v>초안</x:v>
      </x:c>
      <x:c r="H15" s="20"/>
      <x:c r="I15" s="12" t="str">
        <x:v>물체 12kg로 입력</x:v>
      </x:c>
      <x:c r="J15" s="16" t="n">
        <x:v>12</x:v>
      </x:c>
      <x:c r="K15" s="10" t="str">
        <x:v>kg</x:v>
      </x:c>
      <x:c r="L15" s="10" t="str">
        <x:v>25kg 이상 + 횟수 조건</x:v>
      </x:c>
      <x:c r="M15" s="12" t="str">
        <x:v>고시 제3조 8호</x:v>
      </x:c>
      <x:c r="N15" s="12" t="str"/>
      <x:c r="O15" s="10"/>
      <x:c r="P15" s="18"/>
    </x:row>
    <x:row r="16" ht="44" customHeight="1">
      <x:c r="A16" s="2"/>
      <x:c r="B16" s="9" t="str">
        <x:v>T01</x:v>
      </x:c>
      <x:c r="C16" s="9" t="str">
        <x:v>상자 들어 옮기기</x:v>
      </x:c>
      <x:c r="D16" s="13" t="n">
        <x:v>9</x:v>
      </x:c>
      <x:c r="E16" s="9" t="str">
        <x:v>특정 위치 들기</x:v>
      </x:c>
      <x:c r="F16" s="19" t="str">
        <x:v>사람 확인</x:v>
      </x:c>
      <x:c r="G16" s="19" t="str">
        <x:v>초안</x:v>
      </x:c>
      <x:c r="H16" s="19"/>
      <x:c r="I16" s="11" t="str">
        <x:v>12kg·30회 입력, 무릎 아래 위치 확인 필요</x:v>
      </x:c>
      <x:c r="J16" s="15" t="n">
        <x:v>30</x:v>
      </x:c>
      <x:c r="K16" s="9" t="str">
        <x:v>회/일</x:v>
      </x:c>
      <x:c r="L16" s="9" t="str">
        <x:v>10kg 이상·25회 이상 + 위치 조건</x:v>
      </x:c>
      <x:c r="M16" s="11" t="str">
        <x:v>고시 제3조 9호</x:v>
      </x:c>
      <x:c r="N16" s="11" t="str">
        <x:v>사진만으로 들기 위치 확정 어려움</x:v>
      </x:c>
      <x:c r="O16" s="9"/>
      <x:c r="P16" s="17"/>
    </x:row>
    <x:row r="17" ht="44" customHeight="1">
      <x:c r="A17" s="2"/>
      <x:c r="B17" s="10" t="str">
        <x:v>T01</x:v>
      </x:c>
      <x:c r="C17" s="10" t="str">
        <x:v>상자 들어 옮기기</x:v>
      </x:c>
      <x:c r="D17" s="14" t="n">
        <x:v>10</x:v>
      </x:c>
      <x:c r="E17" s="10" t="str">
        <x:v>반복 들기</x:v>
      </x:c>
      <x:c r="F17" s="20" t="str">
        <x:v>비해당</x:v>
      </x:c>
      <x:c r="G17" s="20" t="str">
        <x:v>초안</x:v>
      </x:c>
      <x:c r="H17" s="20"/>
      <x:c r="I17" s="12" t="str">
        <x:v>입력값이 해당 조건을 충족하지 않음</x:v>
      </x:c>
      <x:c r="J17" s="16" t="str">
        <x:v>입력값 확인</x:v>
      </x:c>
      <x:c r="K17" s="10" t="str">
        <x:v>—</x:v>
      </x:c>
      <x:c r="L17" s="10" t="str">
        <x:v>조건별 비교</x:v>
      </x:c>
      <x:c r="M17" s="12" t="str">
        <x:v>고시 제3조 10호</x:v>
      </x:c>
      <x:c r="N17" s="12" t="str"/>
      <x:c r="O17" s="10"/>
      <x:c r="P17" s="18"/>
    </x:row>
    <x:row r="18" ht="44" customHeight="1">
      <x:c r="A18" s="2"/>
      <x:c r="B18" s="9" t="str">
        <x:v>T01</x:v>
      </x:c>
      <x:c r="C18" s="9" t="str">
        <x:v>상자 들어 옮기기</x:v>
      </x:c>
      <x:c r="D18" s="13" t="n">
        <x:v>11</x:v>
      </x:c>
      <x:c r="E18" s="9" t="str">
        <x:v>손·무릎 충격</x:v>
      </x:c>
      <x:c r="F18" s="19" t="str">
        <x:v>비해당</x:v>
      </x:c>
      <x:c r="G18" s="19" t="str">
        <x:v>초안</x:v>
      </x:c>
      <x:c r="H18" s="19"/>
      <x:c r="I18" s="11" t="str">
        <x:v>입력값이 해당 조건을 충족하지 않음</x:v>
      </x:c>
      <x:c r="J18" s="15" t="str">
        <x:v>입력값 확인</x:v>
      </x:c>
      <x:c r="K18" s="9" t="str">
        <x:v>—</x:v>
      </x:c>
      <x:c r="L18" s="9" t="str">
        <x:v>조건별 비교</x:v>
      </x:c>
      <x:c r="M18" s="11" t="str">
        <x:v>고시 제3조 11호</x:v>
      </x:c>
      <x:c r="N18" s="11" t="str"/>
      <x:c r="O18" s="9"/>
      <x:c r="P18" s="17"/>
    </x:row>
    <x:row r="19" ht="44" customHeight="1">
      <x:c r="A19" s="2"/>
      <x:c r="B19" s="10" t="str">
        <x:v>T02</x:v>
      </x:c>
      <x:c r="C19" s="10" t="str">
        <x:v>선반 정리</x:v>
      </x:c>
      <x:c r="D19" s="14" t="n">
        <x:v>1</x:v>
      </x:c>
      <x:c r="E19" s="10" t="str">
        <x:v>집중 자료입력</x:v>
      </x:c>
      <x:c r="F19" s="20" t="str">
        <x:v>비해당</x:v>
      </x:c>
      <x:c r="G19" s="20" t="str">
        <x:v>확정</x:v>
      </x:c>
      <x:c r="H19" s="20" t="str">
        <x:v>비해당</x:v>
      </x:c>
      <x:c r="I19" s="12" t="str">
        <x:v>입력값이 해당 조건을 충족하지 않음</x:v>
      </x:c>
      <x:c r="J19" s="16" t="str">
        <x:v>입력값 확인</x:v>
      </x:c>
      <x:c r="K19" s="10" t="str">
        <x:v>—</x:v>
      </x:c>
      <x:c r="L19" s="10" t="str">
        <x:v>조건별 비교</x:v>
      </x:c>
      <x:c r="M19" s="12" t="str">
        <x:v>고시 제3조 1호</x:v>
      </x:c>
      <x:c r="N19" s="12" t="str"/>
      <x:c r="O19" s="10" t="str">
        <x:v>조사자 A</x:v>
      </x:c>
      <x:c r="P19" s="18" t="d">
        <x:v>2026-10-14T10:30:00.000Z</x:v>
      </x:c>
    </x:row>
    <x:row r="20" ht="44" customHeight="1">
      <x:c r="A20" s="2"/>
      <x:c r="B20" s="9" t="str">
        <x:v>T02</x:v>
      </x:c>
      <x:c r="C20" s="9" t="str">
        <x:v>선반 정리</x:v>
      </x:c>
      <x:c r="D20" s="13" t="n">
        <x:v>2</x:v>
      </x:c>
      <x:c r="E20" s="9" t="str">
        <x:v>같은 동작 반복</x:v>
      </x:c>
      <x:c r="F20" s="19" t="str">
        <x:v>비해당</x:v>
      </x:c>
      <x:c r="G20" s="19" t="str">
        <x:v>확정</x:v>
      </x:c>
      <x:c r="H20" s="19" t="str">
        <x:v>비해당</x:v>
      </x:c>
      <x:c r="I20" s="11" t="str">
        <x:v>입력값이 해당 조건을 충족하지 않음</x:v>
      </x:c>
      <x:c r="J20" s="15" t="str">
        <x:v>입력값 확인</x:v>
      </x:c>
      <x:c r="K20" s="9" t="str">
        <x:v>—</x:v>
      </x:c>
      <x:c r="L20" s="9" t="str">
        <x:v>조건별 비교</x:v>
      </x:c>
      <x:c r="M20" s="11" t="str">
        <x:v>고시 제3조 2호</x:v>
      </x:c>
      <x:c r="N20" s="11" t="str"/>
      <x:c r="O20" s="9" t="str">
        <x:v>조사자 A</x:v>
      </x:c>
      <x:c r="P20" s="17" t="d">
        <x:v>2026-10-14T10:30:00.000Z</x:v>
      </x:c>
    </x:row>
    <x:row r="21" ht="44" customHeight="1">
      <x:c r="A21" s="2"/>
      <x:c r="B21" s="10" t="str">
        <x:v>T02</x:v>
      </x:c>
      <x:c r="C21" s="10" t="str">
        <x:v>선반 정리</x:v>
      </x:c>
      <x:c r="D21" s="14" t="n">
        <x:v>3</x:v>
      </x:c>
      <x:c r="E21" s="10" t="str">
        <x:v>팔·어깨 자세</x:v>
      </x:c>
      <x:c r="F21" s="20" t="str">
        <x:v>해당</x:v>
      </x:c>
      <x:c r="G21" s="20" t="str">
        <x:v>확정</x:v>
      </x:c>
      <x:c r="H21" s="20" t="str">
        <x:v>해당</x:v>
      </x:c>
      <x:c r="I21" s="12" t="str">
        <x:v>위팔 들기 추정 2.40시간, 조사자 확인</x:v>
      </x:c>
      <x:c r="J21" s="16" t="n">
        <x:v>2.4</x:v>
      </x:c>
      <x:c r="K21" s="10" t="str">
        <x:v>시간/일</x:v>
      </x:c>
      <x:c r="L21" s="10" t="str">
        <x:v>2시간 이상 + 자세 조건</x:v>
      </x:c>
      <x:c r="M21" s="12" t="str">
        <x:v>고시 제3조 3호</x:v>
      </x:c>
      <x:c r="N21" s="12" t="str"/>
      <x:c r="O21" s="10" t="str">
        <x:v>조사자 A</x:v>
      </x:c>
      <x:c r="P21" s="18" t="d">
        <x:v>2026-10-14T10:30:00.000Z</x:v>
      </x:c>
    </x:row>
    <x:row r="22" ht="44" customHeight="1">
      <x:c r="A22" s="2"/>
      <x:c r="B22" s="9" t="str">
        <x:v>T02</x:v>
      </x:c>
      <x:c r="C22" s="9" t="str">
        <x:v>선반 정리</x:v>
      </x:c>
      <x:c r="D22" s="13" t="n">
        <x:v>4</x:v>
      </x:c>
      <x:c r="E22" s="9" t="str">
        <x:v>목·허리 자세</x:v>
      </x:c>
      <x:c r="F22" s="19" t="str">
        <x:v>비해당</x:v>
      </x:c>
      <x:c r="G22" s="19" t="str">
        <x:v>확정</x:v>
      </x:c>
      <x:c r="H22" s="19" t="str">
        <x:v>비해당</x:v>
      </x:c>
      <x:c r="I22" s="11" t="str">
        <x:v>입력값이 해당 조건을 충족하지 않음</x:v>
      </x:c>
      <x:c r="J22" s="15" t="str">
        <x:v>입력값 확인</x:v>
      </x:c>
      <x:c r="K22" s="9" t="str">
        <x:v>—</x:v>
      </x:c>
      <x:c r="L22" s="9" t="str">
        <x:v>조건별 비교</x:v>
      </x:c>
      <x:c r="M22" s="11" t="str">
        <x:v>고시 제3조 4호</x:v>
      </x:c>
      <x:c r="N22" s="11" t="str"/>
      <x:c r="O22" s="9" t="str">
        <x:v>조사자 A</x:v>
      </x:c>
      <x:c r="P22" s="17" t="d">
        <x:v>2026-10-14T10:30:00.000Z</x:v>
      </x:c>
    </x:row>
    <x:row r="23" ht="44" customHeight="1">
      <x:c r="A23" s="2"/>
      <x:c r="B23" s="10" t="str">
        <x:v>T02</x:v>
      </x:c>
      <x:c r="C23" s="10" t="str">
        <x:v>선반 정리</x:v>
      </x:c>
      <x:c r="D23" s="14" t="n">
        <x:v>5</x:v>
      </x:c>
      <x:c r="E23" s="10" t="str">
        <x:v>쪼그림·무릎 자세</x:v>
      </x:c>
      <x:c r="F23" s="20" t="str">
        <x:v>비해당</x:v>
      </x:c>
      <x:c r="G23" s="20" t="str">
        <x:v>확정</x:v>
      </x:c>
      <x:c r="H23" s="20" t="str">
        <x:v>비해당</x:v>
      </x:c>
      <x:c r="I23" s="12" t="str">
        <x:v>입력값이 해당 조건을 충족하지 않음</x:v>
      </x:c>
      <x:c r="J23" s="16" t="str">
        <x:v>입력값 확인</x:v>
      </x:c>
      <x:c r="K23" s="10" t="str">
        <x:v>—</x:v>
      </x:c>
      <x:c r="L23" s="10" t="str">
        <x:v>조건별 비교</x:v>
      </x:c>
      <x:c r="M23" s="12" t="str">
        <x:v>고시 제3조 5호</x:v>
      </x:c>
      <x:c r="N23" s="12" t="str"/>
      <x:c r="O23" s="10" t="str">
        <x:v>조사자 A</x:v>
      </x:c>
      <x:c r="P23" s="18" t="d">
        <x:v>2026-10-14T10:30:00.000Z</x:v>
      </x:c>
    </x:row>
    <x:row r="24" ht="44" customHeight="1">
      <x:c r="A24" s="2"/>
      <x:c r="B24" s="9" t="str">
        <x:v>T02</x:v>
      </x:c>
      <x:c r="C24" s="9" t="str">
        <x:v>선반 정리</x:v>
      </x:c>
      <x:c r="D24" s="13" t="n">
        <x:v>6</x:v>
      </x:c>
      <x:c r="E24" s="9" t="str">
        <x:v>손가락 힘</x:v>
      </x:c>
      <x:c r="F24" s="19" t="str">
        <x:v>비해당</x:v>
      </x:c>
      <x:c r="G24" s="19" t="str">
        <x:v>확정</x:v>
      </x:c>
      <x:c r="H24" s="19" t="str">
        <x:v>비해당</x:v>
      </x:c>
      <x:c r="I24" s="11" t="str">
        <x:v>입력값이 해당 조건을 충족하지 않음</x:v>
      </x:c>
      <x:c r="J24" s="15" t="str">
        <x:v>입력값 확인</x:v>
      </x:c>
      <x:c r="K24" s="9" t="str">
        <x:v>—</x:v>
      </x:c>
      <x:c r="L24" s="9" t="str">
        <x:v>조건별 비교</x:v>
      </x:c>
      <x:c r="M24" s="11" t="str">
        <x:v>고시 제3조 6호</x:v>
      </x:c>
      <x:c r="N24" s="11" t="str"/>
      <x:c r="O24" s="9" t="str">
        <x:v>조사자 A</x:v>
      </x:c>
      <x:c r="P24" s="17" t="d">
        <x:v>2026-10-14T10:30:00.000Z</x:v>
      </x:c>
    </x:row>
    <x:row r="25" ht="44" customHeight="1">
      <x:c r="A25" s="2"/>
      <x:c r="B25" s="10" t="str">
        <x:v>T02</x:v>
      </x:c>
      <x:c r="C25" s="10" t="str">
        <x:v>선반 정리</x:v>
      </x:c>
      <x:c r="D25" s="14" t="n">
        <x:v>7</x:v>
      </x:c>
      <x:c r="E25" s="10" t="str">
        <x:v>한 손 들기·힘</x:v>
      </x:c>
      <x:c r="F25" s="20" t="str">
        <x:v>비해당</x:v>
      </x:c>
      <x:c r="G25" s="20" t="str">
        <x:v>확정</x:v>
      </x:c>
      <x:c r="H25" s="20" t="str">
        <x:v>비해당</x:v>
      </x:c>
      <x:c r="I25" s="12" t="str">
        <x:v>입력값이 해당 조건을 충족하지 않음</x:v>
      </x:c>
      <x:c r="J25" s="16" t="str">
        <x:v>입력값 확인</x:v>
      </x:c>
      <x:c r="K25" s="10" t="str">
        <x:v>—</x:v>
      </x:c>
      <x:c r="L25" s="10" t="str">
        <x:v>조건별 비교</x:v>
      </x:c>
      <x:c r="M25" s="12" t="str">
        <x:v>고시 제3조 7호</x:v>
      </x:c>
      <x:c r="N25" s="12" t="str"/>
      <x:c r="O25" s="10" t="str">
        <x:v>조사자 A</x:v>
      </x:c>
      <x:c r="P25" s="18" t="d">
        <x:v>2026-10-14T10:30:00.000Z</x:v>
      </x:c>
    </x:row>
    <x:row r="26" ht="44" customHeight="1">
      <x:c r="A26" s="2"/>
      <x:c r="B26" s="9" t="str">
        <x:v>T02</x:v>
      </x:c>
      <x:c r="C26" s="9" t="str">
        <x:v>선반 정리</x:v>
      </x:c>
      <x:c r="D26" s="13" t="n">
        <x:v>8</x:v>
      </x:c>
      <x:c r="E26" s="9" t="str">
        <x:v>25kg 이상 들기</x:v>
      </x:c>
      <x:c r="F26" s="19" t="str">
        <x:v>비해당</x:v>
      </x:c>
      <x:c r="G26" s="19" t="str">
        <x:v>확정</x:v>
      </x:c>
      <x:c r="H26" s="19" t="str">
        <x:v>비해당</x:v>
      </x:c>
      <x:c r="I26" s="11" t="str">
        <x:v>입력값이 해당 조건을 충족하지 않음</x:v>
      </x:c>
      <x:c r="J26" s="15" t="str">
        <x:v>입력값 확인</x:v>
      </x:c>
      <x:c r="K26" s="9" t="str">
        <x:v>—</x:v>
      </x:c>
      <x:c r="L26" s="9" t="str">
        <x:v>조건별 비교</x:v>
      </x:c>
      <x:c r="M26" s="11" t="str">
        <x:v>고시 제3조 8호</x:v>
      </x:c>
      <x:c r="N26" s="11" t="str"/>
      <x:c r="O26" s="9" t="str">
        <x:v>조사자 A</x:v>
      </x:c>
      <x:c r="P26" s="17" t="d">
        <x:v>2026-10-14T10:30:00.000Z</x:v>
      </x:c>
    </x:row>
    <x:row r="27" ht="44" customHeight="1">
      <x:c r="A27" s="2"/>
      <x:c r="B27" s="10" t="str">
        <x:v>T02</x:v>
      </x:c>
      <x:c r="C27" s="10" t="str">
        <x:v>선반 정리</x:v>
      </x:c>
      <x:c r="D27" s="14" t="n">
        <x:v>9</x:v>
      </x:c>
      <x:c r="E27" s="10" t="str">
        <x:v>특정 위치 들기</x:v>
      </x:c>
      <x:c r="F27" s="20" t="str">
        <x:v>비해당</x:v>
      </x:c>
      <x:c r="G27" s="20" t="str">
        <x:v>확정</x:v>
      </x:c>
      <x:c r="H27" s="20" t="str">
        <x:v>비해당</x:v>
      </x:c>
      <x:c r="I27" s="12" t="str">
        <x:v>입력값이 해당 조건을 충족하지 않음</x:v>
      </x:c>
      <x:c r="J27" s="16" t="str">
        <x:v>입력값 확인</x:v>
      </x:c>
      <x:c r="K27" s="10" t="str">
        <x:v>—</x:v>
      </x:c>
      <x:c r="L27" s="10" t="str">
        <x:v>조건별 비교</x:v>
      </x:c>
      <x:c r="M27" s="12" t="str">
        <x:v>고시 제3조 9호</x:v>
      </x:c>
      <x:c r="N27" s="12" t="str"/>
      <x:c r="O27" s="10" t="str">
        <x:v>조사자 A</x:v>
      </x:c>
      <x:c r="P27" s="18" t="d">
        <x:v>2026-10-14T10:30:00.000Z</x:v>
      </x:c>
    </x:row>
    <x:row r="28" ht="44" customHeight="1">
      <x:c r="A28" s="2"/>
      <x:c r="B28" s="9" t="str">
        <x:v>T02</x:v>
      </x:c>
      <x:c r="C28" s="9" t="str">
        <x:v>선반 정리</x:v>
      </x:c>
      <x:c r="D28" s="13" t="n">
        <x:v>10</x:v>
      </x:c>
      <x:c r="E28" s="9" t="str">
        <x:v>반복 들기</x:v>
      </x:c>
      <x:c r="F28" s="19" t="str">
        <x:v>비해당</x:v>
      </x:c>
      <x:c r="G28" s="19" t="str">
        <x:v>확정</x:v>
      </x:c>
      <x:c r="H28" s="19" t="str">
        <x:v>비해당</x:v>
      </x:c>
      <x:c r="I28" s="11" t="str">
        <x:v>입력값이 해당 조건을 충족하지 않음</x:v>
      </x:c>
      <x:c r="J28" s="15" t="str">
        <x:v>입력값 확인</x:v>
      </x:c>
      <x:c r="K28" s="9" t="str">
        <x:v>—</x:v>
      </x:c>
      <x:c r="L28" s="9" t="str">
        <x:v>조건별 비교</x:v>
      </x:c>
      <x:c r="M28" s="11" t="str">
        <x:v>고시 제3조 10호</x:v>
      </x:c>
      <x:c r="N28" s="11" t="str"/>
      <x:c r="O28" s="9" t="str">
        <x:v>조사자 A</x:v>
      </x:c>
      <x:c r="P28" s="17" t="d">
        <x:v>2026-10-14T10:30:00.000Z</x:v>
      </x:c>
    </x:row>
    <x:row r="29" ht="44" customHeight="1">
      <x:c r="A29" s="2"/>
      <x:c r="B29" s="10" t="str">
        <x:v>T02</x:v>
      </x:c>
      <x:c r="C29" s="10" t="str">
        <x:v>선반 정리</x:v>
      </x:c>
      <x:c r="D29" s="14" t="n">
        <x:v>11</x:v>
      </x:c>
      <x:c r="E29" s="10" t="str">
        <x:v>손·무릎 충격</x:v>
      </x:c>
      <x:c r="F29" s="20" t="str">
        <x:v>비해당</x:v>
      </x:c>
      <x:c r="G29" s="20" t="str">
        <x:v>확정</x:v>
      </x:c>
      <x:c r="H29" s="20" t="str">
        <x:v>비해당</x:v>
      </x:c>
      <x:c r="I29" s="12" t="str">
        <x:v>입력값이 해당 조건을 충족하지 않음</x:v>
      </x:c>
      <x:c r="J29" s="16" t="str">
        <x:v>입력값 확인</x:v>
      </x:c>
      <x:c r="K29" s="10" t="str">
        <x:v>—</x:v>
      </x:c>
      <x:c r="L29" s="10" t="str">
        <x:v>조건별 비교</x:v>
      </x:c>
      <x:c r="M29" s="12" t="str">
        <x:v>고시 제3조 11호</x:v>
      </x:c>
      <x:c r="N29" s="12" t="str"/>
      <x:c r="O29" s="10" t="str">
        <x:v>조사자 A</x:v>
      </x:c>
      <x:c r="P29" s="18" t="d">
        <x:v>2026-10-14T10:30:00.000Z</x:v>
      </x:c>
    </x:row>
    <x:row r="30" ht="44" customHeight="1">
      <x:c r="A30" s="2"/>
      <x:c r="B30" s="9" t="str">
        <x:v>T03</x:v>
      </x:c>
      <x:c r="C30" s="9" t="str">
        <x:v>수레 밀기</x:v>
      </x:c>
      <x:c r="D30" s="13" t="n">
        <x:v>1</x:v>
      </x:c>
      <x:c r="E30" s="9" t="str">
        <x:v>집중 자료입력</x:v>
      </x:c>
      <x:c r="F30" s="19" t="str">
        <x:v>비해당</x:v>
      </x:c>
      <x:c r="G30" s="19" t="str">
        <x:v>확정</x:v>
      </x:c>
      <x:c r="H30" s="19" t="str">
        <x:v>비해당</x:v>
      </x:c>
      <x:c r="I30" s="11" t="str">
        <x:v>1회성 작업 2개월 이내 종료로 입력</x:v>
      </x:c>
      <x:c r="J30" s="15" t="str">
        <x:v>단기간</x:v>
      </x:c>
      <x:c r="K30" s="9" t="str">
        <x:v>기간 구분</x:v>
      </x:c>
      <x:c r="L30" s="9" t="str">
        <x:v>고시 제2·3조</x:v>
      </x:c>
      <x:c r="M30" s="11" t="str">
        <x:v>고시 제2·3조</x:v>
      </x:c>
      <x:c r="N30" s="11" t="str"/>
      <x:c r="O30" s="9" t="str">
        <x:v>조사자 A</x:v>
      </x:c>
      <x:c r="P30" s="17" t="d">
        <x:v>2026-10-14T10:30:00.000Z</x:v>
      </x:c>
    </x:row>
    <x:row r="31" ht="44" customHeight="1">
      <x:c r="A31" s="2"/>
      <x:c r="B31" s="10" t="str">
        <x:v>T03</x:v>
      </x:c>
      <x:c r="C31" s="10" t="str">
        <x:v>수레 밀기</x:v>
      </x:c>
      <x:c r="D31" s="14" t="n">
        <x:v>2</x:v>
      </x:c>
      <x:c r="E31" s="10" t="str">
        <x:v>같은 동작 반복</x:v>
      </x:c>
      <x:c r="F31" s="20" t="str">
        <x:v>비해당</x:v>
      </x:c>
      <x:c r="G31" s="20" t="str">
        <x:v>확정</x:v>
      </x:c>
      <x:c r="H31" s="20" t="str">
        <x:v>비해당</x:v>
      </x:c>
      <x:c r="I31" s="12" t="str">
        <x:v>1회성 작업 2개월 이내 종료로 입력</x:v>
      </x:c>
      <x:c r="J31" s="16" t="str">
        <x:v>단기간</x:v>
      </x:c>
      <x:c r="K31" s="10" t="str">
        <x:v>기간 구분</x:v>
      </x:c>
      <x:c r="L31" s="10" t="str">
        <x:v>고시 제2·3조</x:v>
      </x:c>
      <x:c r="M31" s="12" t="str">
        <x:v>고시 제2·3조</x:v>
      </x:c>
      <x:c r="N31" s="12" t="str"/>
      <x:c r="O31" s="10" t="str">
        <x:v>조사자 A</x:v>
      </x:c>
      <x:c r="P31" s="18" t="d">
        <x:v>2026-10-14T10:30:00.000Z</x:v>
      </x:c>
    </x:row>
    <x:row r="32" ht="44" customHeight="1">
      <x:c r="A32" s="2"/>
      <x:c r="B32" s="9" t="str">
        <x:v>T03</x:v>
      </x:c>
      <x:c r="C32" s="9" t="str">
        <x:v>수레 밀기</x:v>
      </x:c>
      <x:c r="D32" s="13" t="n">
        <x:v>3</x:v>
      </x:c>
      <x:c r="E32" s="9" t="str">
        <x:v>팔·어깨 자세</x:v>
      </x:c>
      <x:c r="F32" s="19" t="str">
        <x:v>비해당</x:v>
      </x:c>
      <x:c r="G32" s="19" t="str">
        <x:v>확정</x:v>
      </x:c>
      <x:c r="H32" s="19" t="str">
        <x:v>비해당</x:v>
      </x:c>
      <x:c r="I32" s="11" t="str">
        <x:v>1회성 작업 2개월 이내 종료로 입력</x:v>
      </x:c>
      <x:c r="J32" s="15" t="str">
        <x:v>단기간</x:v>
      </x:c>
      <x:c r="K32" s="9" t="str">
        <x:v>기간 구분</x:v>
      </x:c>
      <x:c r="L32" s="9" t="str">
        <x:v>고시 제2·3조</x:v>
      </x:c>
      <x:c r="M32" s="11" t="str">
        <x:v>고시 제2·3조</x:v>
      </x:c>
      <x:c r="N32" s="11" t="str"/>
      <x:c r="O32" s="9" t="str">
        <x:v>조사자 A</x:v>
      </x:c>
      <x:c r="P32" s="17" t="d">
        <x:v>2026-10-14T10:30:00.000Z</x:v>
      </x:c>
    </x:row>
    <x:row r="33" ht="44" customHeight="1">
      <x:c r="A33" s="2"/>
      <x:c r="B33" s="10" t="str">
        <x:v>T03</x:v>
      </x:c>
      <x:c r="C33" s="10" t="str">
        <x:v>수레 밀기</x:v>
      </x:c>
      <x:c r="D33" s="14" t="n">
        <x:v>4</x:v>
      </x:c>
      <x:c r="E33" s="10" t="str">
        <x:v>목·허리 자세</x:v>
      </x:c>
      <x:c r="F33" s="20" t="str">
        <x:v>비해당</x:v>
      </x:c>
      <x:c r="G33" s="20" t="str">
        <x:v>확정</x:v>
      </x:c>
      <x:c r="H33" s="20" t="str">
        <x:v>비해당</x:v>
      </x:c>
      <x:c r="I33" s="12" t="str">
        <x:v>1회성 작업 2개월 이내 종료로 입력</x:v>
      </x:c>
      <x:c r="J33" s="16" t="str">
        <x:v>단기간</x:v>
      </x:c>
      <x:c r="K33" s="10" t="str">
        <x:v>기간 구분</x:v>
      </x:c>
      <x:c r="L33" s="10" t="str">
        <x:v>고시 제2·3조</x:v>
      </x:c>
      <x:c r="M33" s="12" t="str">
        <x:v>고시 제2·3조</x:v>
      </x:c>
      <x:c r="N33" s="12" t="str"/>
      <x:c r="O33" s="10" t="str">
        <x:v>조사자 A</x:v>
      </x:c>
      <x:c r="P33" s="18" t="d">
        <x:v>2026-10-14T10:30:00.000Z</x:v>
      </x:c>
    </x:row>
    <x:row r="34" ht="44" customHeight="1">
      <x:c r="A34" s="2"/>
      <x:c r="B34" s="9" t="str">
        <x:v>T03</x:v>
      </x:c>
      <x:c r="C34" s="9" t="str">
        <x:v>수레 밀기</x:v>
      </x:c>
      <x:c r="D34" s="13" t="n">
        <x:v>5</x:v>
      </x:c>
      <x:c r="E34" s="9" t="str">
        <x:v>쪼그림·무릎 자세</x:v>
      </x:c>
      <x:c r="F34" s="19" t="str">
        <x:v>비해당</x:v>
      </x:c>
      <x:c r="G34" s="19" t="str">
        <x:v>확정</x:v>
      </x:c>
      <x:c r="H34" s="19" t="str">
        <x:v>비해당</x:v>
      </x:c>
      <x:c r="I34" s="11" t="str">
        <x:v>1회성 작업 2개월 이내 종료로 입력</x:v>
      </x:c>
      <x:c r="J34" s="15" t="str">
        <x:v>단기간</x:v>
      </x:c>
      <x:c r="K34" s="9" t="str">
        <x:v>기간 구분</x:v>
      </x:c>
      <x:c r="L34" s="9" t="str">
        <x:v>고시 제2·3조</x:v>
      </x:c>
      <x:c r="M34" s="11" t="str">
        <x:v>고시 제2·3조</x:v>
      </x:c>
      <x:c r="N34" s="11" t="str"/>
      <x:c r="O34" s="9" t="str">
        <x:v>조사자 A</x:v>
      </x:c>
      <x:c r="P34" s="17" t="d">
        <x:v>2026-10-14T10:30:00.000Z</x:v>
      </x:c>
    </x:row>
    <x:row r="35" ht="44" customHeight="1">
      <x:c r="A35" s="2"/>
      <x:c r="B35" s="10" t="str">
        <x:v>T03</x:v>
      </x:c>
      <x:c r="C35" s="10" t="str">
        <x:v>수레 밀기</x:v>
      </x:c>
      <x:c r="D35" s="14" t="n">
        <x:v>6</x:v>
      </x:c>
      <x:c r="E35" s="10" t="str">
        <x:v>손가락 힘</x:v>
      </x:c>
      <x:c r="F35" s="20" t="str">
        <x:v>비해당</x:v>
      </x:c>
      <x:c r="G35" s="20" t="str">
        <x:v>확정</x:v>
      </x:c>
      <x:c r="H35" s="20" t="str">
        <x:v>비해당</x:v>
      </x:c>
      <x:c r="I35" s="12" t="str">
        <x:v>1회성 작업 2개월 이내 종료로 입력</x:v>
      </x:c>
      <x:c r="J35" s="16" t="str">
        <x:v>단기간</x:v>
      </x:c>
      <x:c r="K35" s="10" t="str">
        <x:v>기간 구분</x:v>
      </x:c>
      <x:c r="L35" s="10" t="str">
        <x:v>고시 제2·3조</x:v>
      </x:c>
      <x:c r="M35" s="12" t="str">
        <x:v>고시 제2·3조</x:v>
      </x:c>
      <x:c r="N35" s="12" t="str"/>
      <x:c r="O35" s="10" t="str">
        <x:v>조사자 A</x:v>
      </x:c>
      <x:c r="P35" s="18" t="d">
        <x:v>2026-10-14T10:30:00.000Z</x:v>
      </x:c>
    </x:row>
    <x:row r="36" ht="44" customHeight="1">
      <x:c r="A36" s="2"/>
      <x:c r="B36" s="9" t="str">
        <x:v>T03</x:v>
      </x:c>
      <x:c r="C36" s="9" t="str">
        <x:v>수레 밀기</x:v>
      </x:c>
      <x:c r="D36" s="13" t="n">
        <x:v>7</x:v>
      </x:c>
      <x:c r="E36" s="9" t="str">
        <x:v>한 손 들기·힘</x:v>
      </x:c>
      <x:c r="F36" s="19" t="str">
        <x:v>비해당</x:v>
      </x:c>
      <x:c r="G36" s="19" t="str">
        <x:v>확정</x:v>
      </x:c>
      <x:c r="H36" s="19" t="str">
        <x:v>비해당</x:v>
      </x:c>
      <x:c r="I36" s="11" t="str">
        <x:v>1회성 작업 2개월 이내 종료로 입력</x:v>
      </x:c>
      <x:c r="J36" s="15" t="str">
        <x:v>단기간</x:v>
      </x:c>
      <x:c r="K36" s="9" t="str">
        <x:v>기간 구분</x:v>
      </x:c>
      <x:c r="L36" s="9" t="str">
        <x:v>고시 제2·3조</x:v>
      </x:c>
      <x:c r="M36" s="11" t="str">
        <x:v>고시 제2·3조</x:v>
      </x:c>
      <x:c r="N36" s="11" t="str"/>
      <x:c r="O36" s="9" t="str">
        <x:v>조사자 A</x:v>
      </x:c>
      <x:c r="P36" s="17" t="d">
        <x:v>2026-10-14T10:30:00.000Z</x:v>
      </x:c>
    </x:row>
    <x:row r="37" ht="44" customHeight="1">
      <x:c r="A37" s="2"/>
      <x:c r="B37" s="10" t="str">
        <x:v>T03</x:v>
      </x:c>
      <x:c r="C37" s="10" t="str">
        <x:v>수레 밀기</x:v>
      </x:c>
      <x:c r="D37" s="14" t="n">
        <x:v>8</x:v>
      </x:c>
      <x:c r="E37" s="10" t="str">
        <x:v>25kg 이상 들기</x:v>
      </x:c>
      <x:c r="F37" s="20" t="str">
        <x:v>비해당</x:v>
      </x:c>
      <x:c r="G37" s="20" t="str">
        <x:v>확정</x:v>
      </x:c>
      <x:c r="H37" s="20" t="str">
        <x:v>비해당</x:v>
      </x:c>
      <x:c r="I37" s="12" t="str">
        <x:v>1회성 작업 2개월 이내 종료로 입력</x:v>
      </x:c>
      <x:c r="J37" s="16" t="str">
        <x:v>단기간</x:v>
      </x:c>
      <x:c r="K37" s="10" t="str">
        <x:v>기간 구분</x:v>
      </x:c>
      <x:c r="L37" s="10" t="str">
        <x:v>고시 제2·3조</x:v>
      </x:c>
      <x:c r="M37" s="12" t="str">
        <x:v>고시 제2·3조</x:v>
      </x:c>
      <x:c r="N37" s="12" t="str"/>
      <x:c r="O37" s="10" t="str">
        <x:v>조사자 A</x:v>
      </x:c>
      <x:c r="P37" s="18" t="d">
        <x:v>2026-10-14T10:30:00.000Z</x:v>
      </x:c>
    </x:row>
    <x:row r="38" ht="44" customHeight="1">
      <x:c r="A38" s="2"/>
      <x:c r="B38" s="9" t="str">
        <x:v>T03</x:v>
      </x:c>
      <x:c r="C38" s="9" t="str">
        <x:v>수레 밀기</x:v>
      </x:c>
      <x:c r="D38" s="13" t="n">
        <x:v>9</x:v>
      </x:c>
      <x:c r="E38" s="9" t="str">
        <x:v>특정 위치 들기</x:v>
      </x:c>
      <x:c r="F38" s="19" t="str">
        <x:v>비해당</x:v>
      </x:c>
      <x:c r="G38" s="19" t="str">
        <x:v>확정</x:v>
      </x:c>
      <x:c r="H38" s="19" t="str">
        <x:v>비해당</x:v>
      </x:c>
      <x:c r="I38" s="11" t="str">
        <x:v>1회성 작업 2개월 이내 종료로 입력</x:v>
      </x:c>
      <x:c r="J38" s="15" t="str">
        <x:v>단기간</x:v>
      </x:c>
      <x:c r="K38" s="9" t="str">
        <x:v>기간 구분</x:v>
      </x:c>
      <x:c r="L38" s="9" t="str">
        <x:v>고시 제2·3조</x:v>
      </x:c>
      <x:c r="M38" s="11" t="str">
        <x:v>고시 제2·3조</x:v>
      </x:c>
      <x:c r="N38" s="11" t="str"/>
      <x:c r="O38" s="9" t="str">
        <x:v>조사자 A</x:v>
      </x:c>
      <x:c r="P38" s="17" t="d">
        <x:v>2026-10-14T10:30:00.000Z</x:v>
      </x:c>
    </x:row>
    <x:row r="39" ht="44" customHeight="1">
      <x:c r="A39" s="2"/>
      <x:c r="B39" s="10" t="str">
        <x:v>T03</x:v>
      </x:c>
      <x:c r="C39" s="10" t="str">
        <x:v>수레 밀기</x:v>
      </x:c>
      <x:c r="D39" s="14" t="n">
        <x:v>10</x:v>
      </x:c>
      <x:c r="E39" s="10" t="str">
        <x:v>반복 들기</x:v>
      </x:c>
      <x:c r="F39" s="20" t="str">
        <x:v>비해당</x:v>
      </x:c>
      <x:c r="G39" s="20" t="str">
        <x:v>확정</x:v>
      </x:c>
      <x:c r="H39" s="20" t="str">
        <x:v>비해당</x:v>
      </x:c>
      <x:c r="I39" s="12" t="str">
        <x:v>1회성 작업 2개월 이내 종료로 입력</x:v>
      </x:c>
      <x:c r="J39" s="16" t="str">
        <x:v>단기간</x:v>
      </x:c>
      <x:c r="K39" s="10" t="str">
        <x:v>기간 구분</x:v>
      </x:c>
      <x:c r="L39" s="10" t="str">
        <x:v>고시 제2·3조</x:v>
      </x:c>
      <x:c r="M39" s="12" t="str">
        <x:v>고시 제2·3조</x:v>
      </x:c>
      <x:c r="N39" s="12" t="str"/>
      <x:c r="O39" s="10" t="str">
        <x:v>조사자 A</x:v>
      </x:c>
      <x:c r="P39" s="18" t="d">
        <x:v>2026-10-14T10:30:00.000Z</x:v>
      </x:c>
    </x:row>
    <x:row r="40" ht="44" customHeight="1">
      <x:c r="A40" s="2"/>
      <x:c r="B40" s="9" t="str">
        <x:v>T03</x:v>
      </x:c>
      <x:c r="C40" s="9" t="str">
        <x:v>수레 밀기</x:v>
      </x:c>
      <x:c r="D40" s="13" t="n">
        <x:v>11</x:v>
      </x:c>
      <x:c r="E40" s="9" t="str">
        <x:v>손·무릎 충격</x:v>
      </x:c>
      <x:c r="F40" s="19" t="str">
        <x:v>비해당</x:v>
      </x:c>
      <x:c r="G40" s="19" t="str">
        <x:v>확정</x:v>
      </x:c>
      <x:c r="H40" s="19" t="str">
        <x:v>비해당</x:v>
      </x:c>
      <x:c r="I40" s="11" t="str">
        <x:v>1회성 작업 2개월 이내 종료로 입력</x:v>
      </x:c>
      <x:c r="J40" s="15" t="str">
        <x:v>단기간</x:v>
      </x:c>
      <x:c r="K40" s="9" t="str">
        <x:v>기간 구분</x:v>
      </x:c>
      <x:c r="L40" s="9" t="str">
        <x:v>고시 제2·3조</x:v>
      </x:c>
      <x:c r="M40" s="11" t="str">
        <x:v>고시 제2·3조</x:v>
      </x:c>
      <x:c r="N40" s="11" t="str"/>
      <x:c r="O40" s="9" t="str">
        <x:v>조사자 A</x:v>
      </x:c>
      <x:c r="P40" s="17" t="d">
        <x:v>2026-10-14T10:30:00.000Z</x:v>
      </x:c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5" customHeight="1">
      <x:c r="A42" s="2"/>
      <x:c r="B42" s="4" t="str">
        <x:v>부담작업 해당 여부 결정과 조사 결과의 책임은 사업주와 조사자에게 있습니다.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</x:sheetData>
  <x:conditionalFormatting sqref="G8:G40">
    <x:cfRule type="containsText" dxfId="0" priority="1" operator="containsText" text="초안"/>
  </x:conditionalFormatting>
  <x:conditionalFormatting sqref="F8:F40">
    <x:cfRule type="containsText" dxfId="1" priority="2" operator="containsText" text="입력 필요"/>
    <x:cfRule type="containsText" dxfId="2" priority="3" operator="containsText" text="사람 확인"/>
  </x:conditionalFormatting>
  <x:pageMargins left="0.7" right="0.7" top="0.75" bottom="0.75" header="0.3" footer="0.3"/>
  <x:tableParts count="1">
    <x:tablePart xmlns:r="http://schemas.openxmlformats.org/officeDocument/2006/relationships" r:id="Rc76460aef1524514"/>
  </x:tableParts>
</x:worksheet>
</file>